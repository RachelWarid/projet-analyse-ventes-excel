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rachel/Downloads/"/>
    </mc:Choice>
  </mc:AlternateContent>
  <xr:revisionPtr revIDLastSave="0" documentId="8_{C8117AAC-6E4C-7749-A4DE-9C9AC529C0FE}" xr6:coauthVersionLast="47" xr6:coauthVersionMax="47" xr10:uidLastSave="{00000000-0000-0000-0000-000000000000}"/>
  <bookViews>
    <workbookView xWindow="0" yWindow="1140" windowWidth="28800" windowHeight="16480" activeTab="4" xr2:uid="{00000000-000D-0000-FFFF-FFFF00000000}"/>
  </bookViews>
  <sheets>
    <sheet name="README" sheetId="1" r:id="rId1"/>
    <sheet name="Données_brutes" sheetId="2" r:id="rId2"/>
    <sheet name="Données_nettoyées" sheetId="3" r:id="rId3"/>
    <sheet name="Analyse" sheetId="4" r:id="rId4"/>
    <sheet name="Dashboard" sheetId="5" r:id="rId5"/>
  </sheets>
  <definedNames>
    <definedName name="_xlnm.Print_Area" localSheetId="4">Dashboard!$A$1:$H$38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5" l="1"/>
  <c r="K4" i="5"/>
  <c r="M14" i="5"/>
  <c r="M15" i="5"/>
  <c r="M13" i="5"/>
  <c r="J14" i="5"/>
  <c r="J15" i="5"/>
  <c r="J16" i="5"/>
  <c r="J17" i="5"/>
  <c r="J13" i="5"/>
  <c r="E23" i="4"/>
  <c r="N14" i="5" s="1"/>
  <c r="E24" i="4"/>
  <c r="F24" i="4" s="1"/>
  <c r="E22" i="4"/>
  <c r="N13" i="5" s="1"/>
  <c r="B23" i="4"/>
  <c r="K14" i="5" s="1"/>
  <c r="B24" i="4"/>
  <c r="K15" i="5" s="1"/>
  <c r="B25" i="4"/>
  <c r="K16" i="5" s="1"/>
  <c r="B26" i="4"/>
  <c r="K17" i="5" s="1"/>
  <c r="B22" i="4"/>
  <c r="J9" i="5"/>
  <c r="M8" i="5"/>
  <c r="J8" i="5"/>
  <c r="M7" i="5"/>
  <c r="J7" i="5"/>
  <c r="M6" i="5"/>
  <c r="J6" i="5"/>
  <c r="M5" i="5"/>
  <c r="J5" i="5"/>
  <c r="M4" i="5"/>
  <c r="J4" i="5"/>
  <c r="B17" i="4"/>
  <c r="K9" i="5" s="1"/>
  <c r="E16" i="4"/>
  <c r="N8" i="5" s="1"/>
  <c r="B16" i="4"/>
  <c r="K8" i="5" s="1"/>
  <c r="E15" i="4"/>
  <c r="B15" i="4"/>
  <c r="K7" i="5" s="1"/>
  <c r="E14" i="4"/>
  <c r="B14" i="4"/>
  <c r="K6" i="5" s="1"/>
  <c r="E13" i="4"/>
  <c r="B13" i="4"/>
  <c r="K5" i="5" s="1"/>
  <c r="E12" i="4"/>
  <c r="B12" i="4"/>
  <c r="B7" i="4"/>
  <c r="G4" i="5" s="1"/>
  <c r="B6" i="4"/>
  <c r="E4" i="5" s="1"/>
  <c r="B5" i="4"/>
  <c r="C4" i="5" s="1"/>
  <c r="B4" i="4"/>
  <c r="A4" i="5" s="1"/>
  <c r="N15" i="5" l="1"/>
  <c r="C22" i="4"/>
  <c r="K13" i="5"/>
  <c r="C26" i="4"/>
  <c r="C25" i="4"/>
  <c r="C24" i="4"/>
  <c r="C23" i="4"/>
  <c r="F23" i="4"/>
  <c r="F22" i="4"/>
  <c r="F12" i="4"/>
  <c r="F14" i="4"/>
  <c r="N7" i="5"/>
  <c r="F13" i="4"/>
  <c r="F16" i="4"/>
  <c r="N5" i="5"/>
  <c r="F15" i="4"/>
  <c r="N6" i="5"/>
</calcChain>
</file>

<file path=xl/sharedStrings.xml><?xml version="1.0" encoding="utf-8"?>
<sst xmlns="http://schemas.openxmlformats.org/spreadsheetml/2006/main" count="8529" uniqueCount="954">
  <si>
    <t>PROJET DATA ANALYST — ANALYSE DES VENTES</t>
  </si>
  <si>
    <t>Contexte</t>
  </si>
  <si>
    <t>Vous êtes Data Analyst junior dans une entreprise fictive de commerce. La direction souhaite comprendre les performances commerciales du premier semestre 2026.</t>
  </si>
  <si>
    <t>Objectif</t>
  </si>
  <si>
    <t>Nettoyer les données, calculer les indicateurs clés, analyser les ventes et présenter les résultats sous forme de dashboard.</t>
  </si>
  <si>
    <t>Outils</t>
  </si>
  <si>
    <t>Excel : nettoyage, formules, tableaux croisés dynamiques, graphiques et analyse.</t>
  </si>
  <si>
    <t>Étape 1</t>
  </si>
  <si>
    <t>Inspecter Données_brutes et repérer les incohérences.</t>
  </si>
  <si>
    <t>Étape 2</t>
  </si>
  <si>
    <t>Reproduire les corrections dans Données_nettoyées.</t>
  </si>
  <si>
    <t>Étape 3</t>
  </si>
  <si>
    <t>Calculer CA total, commandes, quantité vendue et panier moyen.</t>
  </si>
  <si>
    <t>Étape 4</t>
  </si>
  <si>
    <t>Analyser les ventes par mois, catégorie, produit, région et canal.</t>
  </si>
  <si>
    <t>Étape 5</t>
  </si>
  <si>
    <t>Construire un dashboard clair.</t>
  </si>
  <si>
    <t>Étape 6</t>
  </si>
  <si>
    <t>Rédiger 3 à 5 insights et recommandations.</t>
  </si>
  <si>
    <t>Important</t>
  </si>
  <si>
    <t>Les données brutes contiennent volontairement quelques incohérences : le but est de pratiquer comme une vraie Data Analyst.</t>
  </si>
  <si>
    <t>Commande</t>
  </si>
  <si>
    <t>Date</t>
  </si>
  <si>
    <t>Client_ID</t>
  </si>
  <si>
    <t>Région</t>
  </si>
  <si>
    <t>Canal</t>
  </si>
  <si>
    <t>Catégorie</t>
  </si>
  <si>
    <t>Produit</t>
  </si>
  <si>
    <t>Quantité</t>
  </si>
  <si>
    <t>Prix_unitaire</t>
  </si>
  <si>
    <t>Paiement</t>
  </si>
  <si>
    <t>Chiffre_affaires</t>
  </si>
  <si>
    <t>CMD0102</t>
  </si>
  <si>
    <t>C1182</t>
  </si>
  <si>
    <t>Nouvelle-Aquitaine</t>
  </si>
  <si>
    <t>Site web</t>
  </si>
  <si>
    <t>Électronique</t>
  </si>
  <si>
    <t>Batterie externe</t>
  </si>
  <si>
    <t>Carte bancaire</t>
  </si>
  <si>
    <t>CMD0157</t>
  </si>
  <si>
    <t>C1025</t>
  </si>
  <si>
    <t>Occitanie</t>
  </si>
  <si>
    <t>Application mobile</t>
  </si>
  <si>
    <t>Maison</t>
  </si>
  <si>
    <t>Cafetière</t>
  </si>
  <si>
    <t>CMD0295</t>
  </si>
  <si>
    <t>C1245</t>
  </si>
  <si>
    <t>Île-de-France</t>
  </si>
  <si>
    <t>Aspirateur balai</t>
  </si>
  <si>
    <t>CMD0325</t>
  </si>
  <si>
    <t>C1034</t>
  </si>
  <si>
    <t>Sport</t>
  </si>
  <si>
    <t>Haltères</t>
  </si>
  <si>
    <t>CMD0470</t>
  </si>
  <si>
    <t>C1032</t>
  </si>
  <si>
    <t>Gourde</t>
  </si>
  <si>
    <t>CMD0115</t>
  </si>
  <si>
    <t>C1130</t>
  </si>
  <si>
    <t>Auvergne-Rhône-Alpes</t>
  </si>
  <si>
    <t>Beauté</t>
  </si>
  <si>
    <t>Sèche-cheveux</t>
  </si>
  <si>
    <t>PayPal</t>
  </si>
  <si>
    <t>CMD0269</t>
  </si>
  <si>
    <t>C1220</t>
  </si>
  <si>
    <t>Shampooing</t>
  </si>
  <si>
    <t>Apple Pay</t>
  </si>
  <si>
    <t>CMD0380</t>
  </si>
  <si>
    <t>C1183</t>
  </si>
  <si>
    <t>Casque audio</t>
  </si>
  <si>
    <t>CMD0246</t>
  </si>
  <si>
    <t>C1055</t>
  </si>
  <si>
    <t>Vêtements</t>
  </si>
  <si>
    <t>Sweat</t>
  </si>
  <si>
    <t>CMD0140</t>
  </si>
  <si>
    <t>C1122</t>
  </si>
  <si>
    <t>CMD0177</t>
  </si>
  <si>
    <t>C1151</t>
  </si>
  <si>
    <t>Bouilloire</t>
  </si>
  <si>
    <t>CMD0185</t>
  </si>
  <si>
    <t>C1171</t>
  </si>
  <si>
    <t>Sérum</t>
  </si>
  <si>
    <t>CMD0031</t>
  </si>
  <si>
    <t>C1241</t>
  </si>
  <si>
    <t>Lampe LED</t>
  </si>
  <si>
    <t>CMD0038</t>
  </si>
  <si>
    <t>Clavier mécanique</t>
  </si>
  <si>
    <t>CMD0490</t>
  </si>
  <si>
    <t>C1027</t>
  </si>
  <si>
    <t>Robe</t>
  </si>
  <si>
    <t>CMD0024</t>
  </si>
  <si>
    <t>C1060</t>
  </si>
  <si>
    <t>Magasin</t>
  </si>
  <si>
    <t>Jean</t>
  </si>
  <si>
    <t>CMD0114</t>
  </si>
  <si>
    <t>C1112</t>
  </si>
  <si>
    <t>T-shirt</t>
  </si>
  <si>
    <t>CMD0078</t>
  </si>
  <si>
    <t>C1028</t>
  </si>
  <si>
    <t>Ile-de-France</t>
  </si>
  <si>
    <t>Élastiques</t>
  </si>
  <si>
    <t>CMD0110</t>
  </si>
  <si>
    <t>C1211</t>
  </si>
  <si>
    <t>CMD0208</t>
  </si>
  <si>
    <t>C1221</t>
  </si>
  <si>
    <t>CMD0229</t>
  </si>
  <si>
    <t>C1087</t>
  </si>
  <si>
    <t>Crème visage</t>
  </si>
  <si>
    <t>CMD0450</t>
  </si>
  <si>
    <t>C1124</t>
  </si>
  <si>
    <t>CMD0510</t>
  </si>
  <si>
    <t>C1175</t>
  </si>
  <si>
    <t>Parfum</t>
  </si>
  <si>
    <t>CMD0273</t>
  </si>
  <si>
    <t>C1172</t>
  </si>
  <si>
    <t>Hauts-de-France</t>
  </si>
  <si>
    <t>CMD0135</t>
  </si>
  <si>
    <t>C1003</t>
  </si>
  <si>
    <t>CMD0216</t>
  </si>
  <si>
    <t>C1164</t>
  </si>
  <si>
    <t>Tapis de yoga</t>
  </si>
  <si>
    <t>CMD0220</t>
  </si>
  <si>
    <t>C1215</t>
  </si>
  <si>
    <t>Souris sans fil</t>
  </si>
  <si>
    <t>CMD0242</t>
  </si>
  <si>
    <t>CMD0456</t>
  </si>
  <si>
    <t>C1190</t>
  </si>
  <si>
    <t>CMD0560</t>
  </si>
  <si>
    <t>C1093</t>
  </si>
  <si>
    <t>CMD0563</t>
  </si>
  <si>
    <t>C1089</t>
  </si>
  <si>
    <t>CMD0138</t>
  </si>
  <si>
    <t>C1004</t>
  </si>
  <si>
    <t>CMD0540</t>
  </si>
  <si>
    <t>CMD0586</t>
  </si>
  <si>
    <t>C1120</t>
  </si>
  <si>
    <t>CMD0267</t>
  </si>
  <si>
    <t>C1229</t>
  </si>
  <si>
    <t>Veste</t>
  </si>
  <si>
    <t>CMD0328</t>
  </si>
  <si>
    <t>C1136</t>
  </si>
  <si>
    <t>CMD0340</t>
  </si>
  <si>
    <t>C1016</t>
  </si>
  <si>
    <t>Diffuseur</t>
  </si>
  <si>
    <t>CMD0418</t>
  </si>
  <si>
    <t>C1049</t>
  </si>
  <si>
    <t>CMD0079</t>
  </si>
  <si>
    <t>C1239</t>
  </si>
  <si>
    <t>CMD0178</t>
  </si>
  <si>
    <t>C1001</t>
  </si>
  <si>
    <t>CMD0215</t>
  </si>
  <si>
    <t>CMD0256</t>
  </si>
  <si>
    <t>C1073</t>
  </si>
  <si>
    <t>Enceinte Bluetooth</t>
  </si>
  <si>
    <t>CMD0382</t>
  </si>
  <si>
    <t>C1083</t>
  </si>
  <si>
    <t>Sac de sport</t>
  </si>
  <si>
    <t>CMD0569</t>
  </si>
  <si>
    <t>C1051</t>
  </si>
  <si>
    <t>CMD0004</t>
  </si>
  <si>
    <t>C1064</t>
  </si>
  <si>
    <t>CMD0013</t>
  </si>
  <si>
    <t>C1052</t>
  </si>
  <si>
    <t>CMD0062</t>
  </si>
  <si>
    <t>C1008</t>
  </si>
  <si>
    <t>CMD0535</t>
  </si>
  <si>
    <t>C1181</t>
  </si>
  <si>
    <t>CMD0160</t>
  </si>
  <si>
    <t>C1188</t>
  </si>
  <si>
    <t>CMD0466</t>
  </si>
  <si>
    <t>C1218</t>
  </si>
  <si>
    <t>CMD0474</t>
  </si>
  <si>
    <t>C1115</t>
  </si>
  <si>
    <t>CMD0593</t>
  </si>
  <si>
    <t>CMD0358</t>
  </si>
  <si>
    <t>C1108</t>
  </si>
  <si>
    <t>CMD0460</t>
  </si>
  <si>
    <t>C1109</t>
  </si>
  <si>
    <t>CMD0330</t>
  </si>
  <si>
    <t>C1010</t>
  </si>
  <si>
    <t>CMD0416</t>
  </si>
  <si>
    <t>C1098</t>
  </si>
  <si>
    <t>CMD0570</t>
  </si>
  <si>
    <t>C1033</t>
  </si>
  <si>
    <t>CMD0087</t>
  </si>
  <si>
    <t>C1126</t>
  </si>
  <si>
    <t>CMD0317</t>
  </si>
  <si>
    <t>CMD0452</t>
  </si>
  <si>
    <t>C1084</t>
  </si>
  <si>
    <t>CMD0537</t>
  </si>
  <si>
    <t>C1102</t>
  </si>
  <si>
    <t>CMD0596</t>
  </si>
  <si>
    <t>C1129</t>
  </si>
  <si>
    <t>CMD0003</t>
  </si>
  <si>
    <t>CMD0264</t>
  </si>
  <si>
    <t>C1079</t>
  </si>
  <si>
    <t>CMD0294</t>
  </si>
  <si>
    <t>C1238</t>
  </si>
  <si>
    <t>CMD0313</t>
  </si>
  <si>
    <t>C1191</t>
  </si>
  <si>
    <t>CMD0409</t>
  </si>
  <si>
    <t>C1237</t>
  </si>
  <si>
    <t>CMD0076</t>
  </si>
  <si>
    <t>C1090</t>
  </si>
  <si>
    <t>CMD0118</t>
  </si>
  <si>
    <t>CMD0434</t>
  </si>
  <si>
    <t>CMD0488</t>
  </si>
  <si>
    <t>CMD0045</t>
  </si>
  <si>
    <t>CMD0204</t>
  </si>
  <si>
    <t>CMD0128</t>
  </si>
  <si>
    <t>C1233</t>
  </si>
  <si>
    <t>CMD0218</t>
  </si>
  <si>
    <t>C1141</t>
  </si>
  <si>
    <t>CMD0281</t>
  </si>
  <si>
    <t>CMD0338</t>
  </si>
  <si>
    <t>C1140</t>
  </si>
  <si>
    <t>CMD0288</t>
  </si>
  <si>
    <t>C1249</t>
  </si>
  <si>
    <t>CMD0447</t>
  </si>
  <si>
    <t>CMD0158</t>
  </si>
  <si>
    <t>CMD0196</t>
  </si>
  <si>
    <t>CMD0383</t>
  </si>
  <si>
    <t>C1147</t>
  </si>
  <si>
    <t>CMD0479</t>
  </si>
  <si>
    <t>C1044</t>
  </si>
  <si>
    <t>CMD0509</t>
  </si>
  <si>
    <t>C1017</t>
  </si>
  <si>
    <t>Site Web</t>
  </si>
  <si>
    <t>CMD0011</t>
  </si>
  <si>
    <t>C1099</t>
  </si>
  <si>
    <t>CMD0282</t>
  </si>
  <si>
    <t>C1019</t>
  </si>
  <si>
    <t>CMD0289</t>
  </si>
  <si>
    <t>C1194</t>
  </si>
  <si>
    <t>CMD0300</t>
  </si>
  <si>
    <t>C1166</t>
  </si>
  <si>
    <t>CMD0415</t>
  </si>
  <si>
    <t>C1152</t>
  </si>
  <si>
    <t>CMD0441</t>
  </si>
  <si>
    <t>C1012</t>
  </si>
  <si>
    <t>CMD0565</t>
  </si>
  <si>
    <t>C1179</t>
  </si>
  <si>
    <t>CMD0106</t>
  </si>
  <si>
    <t>CMD0183</t>
  </si>
  <si>
    <t>C1038</t>
  </si>
  <si>
    <t>CMD0239</t>
  </si>
  <si>
    <t>CMD0345</t>
  </si>
  <si>
    <t>C1230</t>
  </si>
  <si>
    <t>CMD0248</t>
  </si>
  <si>
    <t>C1176</t>
  </si>
  <si>
    <t>CMD0323</t>
  </si>
  <si>
    <t>C1113</t>
  </si>
  <si>
    <t>CMD0592</t>
  </si>
  <si>
    <t>C1072</t>
  </si>
  <si>
    <t>CMD0148</t>
  </si>
  <si>
    <t>C1158</t>
  </si>
  <si>
    <t>CMD0376</t>
  </si>
  <si>
    <t>C1209</t>
  </si>
  <si>
    <t>CMD0551</t>
  </si>
  <si>
    <t>CMD0069</t>
  </si>
  <si>
    <t>C1123</t>
  </si>
  <si>
    <t>CMD0093</t>
  </si>
  <si>
    <t>C1153</t>
  </si>
  <si>
    <t>CMD0111</t>
  </si>
  <si>
    <t>C1247</t>
  </si>
  <si>
    <t>CMD0211</t>
  </si>
  <si>
    <t>C1142</t>
  </si>
  <si>
    <t>CMD0146</t>
  </si>
  <si>
    <t>C1097</t>
  </si>
  <si>
    <t>CMD0388</t>
  </si>
  <si>
    <t>C1248</t>
  </si>
  <si>
    <t>CMD0275</t>
  </si>
  <si>
    <t>C1023</t>
  </si>
  <si>
    <t>CMD0305</t>
  </si>
  <si>
    <t>C1056</t>
  </si>
  <si>
    <t>CMD0478</t>
  </si>
  <si>
    <t>C1192</t>
  </si>
  <si>
    <t>CMD0104</t>
  </si>
  <si>
    <t>C1135</t>
  </si>
  <si>
    <t>CMD0171</t>
  </si>
  <si>
    <t>C1094</t>
  </si>
  <si>
    <t>CMD0287</t>
  </si>
  <si>
    <t>CMD0411</t>
  </si>
  <si>
    <t>CMD0502</t>
  </si>
  <si>
    <t>C1205</t>
  </si>
  <si>
    <t>CMD0533</t>
  </si>
  <si>
    <t>C1095</t>
  </si>
  <si>
    <t>CMD0597</t>
  </si>
  <si>
    <t>CMD0050</t>
  </si>
  <si>
    <t>CMD0195</t>
  </si>
  <si>
    <t>CMD0324</t>
  </si>
  <si>
    <t>C1232</t>
  </si>
  <si>
    <t>CMD0361</t>
  </si>
  <si>
    <t>C1213</t>
  </si>
  <si>
    <t>CMD0410</t>
  </si>
  <si>
    <t>CMD0550</t>
  </si>
  <si>
    <t>C1146</t>
  </si>
  <si>
    <t>CMD0025</t>
  </si>
  <si>
    <t>C1048</t>
  </si>
  <si>
    <t>CMD0116</t>
  </si>
  <si>
    <t>CMD0151</t>
  </si>
  <si>
    <t>C1242</t>
  </si>
  <si>
    <t>CMD0172</t>
  </si>
  <si>
    <t>CMD0181</t>
  </si>
  <si>
    <t>C1198</t>
  </si>
  <si>
    <t>CMD0245</t>
  </si>
  <si>
    <t>CMD0485</t>
  </si>
  <si>
    <t>CMD0071</t>
  </si>
  <si>
    <t>CMD0023</t>
  </si>
  <si>
    <t>C1217</t>
  </si>
  <si>
    <t>CMD0123</t>
  </si>
  <si>
    <t>CMD0279</t>
  </si>
  <si>
    <t>CMD0145</t>
  </si>
  <si>
    <t>CMD0453</t>
  </si>
  <si>
    <t>CMD0521</t>
  </si>
  <si>
    <t>C1195</t>
  </si>
  <si>
    <t>CMD0163</t>
  </si>
  <si>
    <t>C1148</t>
  </si>
  <si>
    <t>CMD0304</t>
  </si>
  <si>
    <t>C1057</t>
  </si>
  <si>
    <t>CMD0366</t>
  </si>
  <si>
    <t>CMD0598</t>
  </si>
  <si>
    <t>C1063</t>
  </si>
  <si>
    <t>CMD0266</t>
  </si>
  <si>
    <t>C1178</t>
  </si>
  <si>
    <t>CMD0559</t>
  </si>
  <si>
    <t>C1015</t>
  </si>
  <si>
    <t>electronique</t>
  </si>
  <si>
    <t>CMD0348</t>
  </si>
  <si>
    <t>C1201</t>
  </si>
  <si>
    <t>CMD0532</t>
  </si>
  <si>
    <t>C1110</t>
  </si>
  <si>
    <t>CMD0147</t>
  </si>
  <si>
    <t>CMD0169</t>
  </si>
  <si>
    <t>C1173</t>
  </si>
  <si>
    <t>CMD0349</t>
  </si>
  <si>
    <t>CMD0352</t>
  </si>
  <si>
    <t>CMD0396</t>
  </si>
  <si>
    <t>CMD0465</t>
  </si>
  <si>
    <t>CMD0497</t>
  </si>
  <si>
    <t>C1125</t>
  </si>
  <si>
    <t>CMD0134</t>
  </si>
  <si>
    <t>C1236</t>
  </si>
  <si>
    <t>CMD0483</t>
  </si>
  <si>
    <t>C1227</t>
  </si>
  <si>
    <t>CMD0504</t>
  </si>
  <si>
    <t>CMD0320</t>
  </si>
  <si>
    <t>CMD0426</t>
  </si>
  <si>
    <t>CMD0061</t>
  </si>
  <si>
    <t>C1144</t>
  </si>
  <si>
    <t>CMD0333</t>
  </si>
  <si>
    <t>C1018</t>
  </si>
  <si>
    <t>CMD0343</t>
  </si>
  <si>
    <t>C1074</t>
  </si>
  <si>
    <t>CMD0334</t>
  </si>
  <si>
    <t>C1156</t>
  </si>
  <si>
    <t>CMD0122</t>
  </si>
  <si>
    <t>C1011</t>
  </si>
  <si>
    <t>CMD0170</t>
  </si>
  <si>
    <t>C1096</t>
  </si>
  <si>
    <t>CMD0232</t>
  </si>
  <si>
    <t>CMD0309</t>
  </si>
  <si>
    <t>C1030</t>
  </si>
  <si>
    <t>CMD0486</t>
  </si>
  <si>
    <t>CMD0222</t>
  </si>
  <si>
    <t>CMD0354</t>
  </si>
  <si>
    <t>C1226</t>
  </si>
  <si>
    <t>CMD0464</t>
  </si>
  <si>
    <t>C1250</t>
  </si>
  <si>
    <t>CMD0094</t>
  </si>
  <si>
    <t>CMD0386</t>
  </si>
  <si>
    <t>C1005</t>
  </si>
  <si>
    <t>CMD0393</t>
  </si>
  <si>
    <t>CMD0462</t>
  </si>
  <si>
    <t>C1208</t>
  </si>
  <si>
    <t>CMD0190</t>
  </si>
  <si>
    <t>CMD0420</t>
  </si>
  <si>
    <t>C1243</t>
  </si>
  <si>
    <t>CMD0507</t>
  </si>
  <si>
    <t>CMD0531</t>
  </si>
  <si>
    <t>C1116</t>
  </si>
  <si>
    <t>CMD0572</t>
  </si>
  <si>
    <t>CMD0133</t>
  </si>
  <si>
    <t>CMD0213</t>
  </si>
  <si>
    <t>C1101</t>
  </si>
  <si>
    <t>CMD0065</t>
  </si>
  <si>
    <t>C1118</t>
  </si>
  <si>
    <t>CMD0404</t>
  </si>
  <si>
    <t>CMD0435</t>
  </si>
  <si>
    <t>CMD0070</t>
  </si>
  <si>
    <t>C1075</t>
  </si>
  <si>
    <t>CMD0127</t>
  </si>
  <si>
    <t>CMD0179</t>
  </si>
  <si>
    <t>C1165</t>
  </si>
  <si>
    <t>CMD0255</t>
  </si>
  <si>
    <t>C1106</t>
  </si>
  <si>
    <t>CMD0412</t>
  </si>
  <si>
    <t>CMD0423</t>
  </si>
  <si>
    <t>C1246</t>
  </si>
  <si>
    <t>CMD0457</t>
  </si>
  <si>
    <t>C1022</t>
  </si>
  <si>
    <t>CMD0526</t>
  </si>
  <si>
    <t>CMD0033</t>
  </si>
  <si>
    <t>C1127</t>
  </si>
  <si>
    <t>CMD0154</t>
  </si>
  <si>
    <t>CMD0495</t>
  </si>
  <si>
    <t>C1040</t>
  </si>
  <si>
    <t>CMD0505</t>
  </si>
  <si>
    <t>CMD0083</t>
  </si>
  <si>
    <t>C1150</t>
  </si>
  <si>
    <t>CMD0236</t>
  </si>
  <si>
    <t>CMD0332</t>
  </si>
  <si>
    <t>C1082</t>
  </si>
  <si>
    <t>CMD0387</t>
  </si>
  <si>
    <t>C1214</t>
  </si>
  <si>
    <t>CMD0492</t>
  </si>
  <si>
    <t>C1014</t>
  </si>
  <si>
    <t>CMD0063</t>
  </si>
  <si>
    <t>CMD0228</t>
  </si>
  <si>
    <t>CMD0491</t>
  </si>
  <si>
    <t>C1162</t>
  </si>
  <si>
    <t>CMD0562</t>
  </si>
  <si>
    <t>C1169</t>
  </si>
  <si>
    <t>CMD0030</t>
  </si>
  <si>
    <t>CMD0261</t>
  </si>
  <si>
    <t>C1167</t>
  </si>
  <si>
    <t>CMD0283</t>
  </si>
  <si>
    <t>CMD0373</t>
  </si>
  <si>
    <t>CMD0406</t>
  </si>
  <si>
    <t>CMD0542</t>
  </si>
  <si>
    <t>CMD0018</t>
  </si>
  <si>
    <t>C1131</t>
  </si>
  <si>
    <t>CMD0040</t>
  </si>
  <si>
    <t>C1058</t>
  </si>
  <si>
    <t>CMD0051</t>
  </si>
  <si>
    <t>CMD0108</t>
  </si>
  <si>
    <t>CMD0514</t>
  </si>
  <si>
    <t>C1111</t>
  </si>
  <si>
    <t>CMD0010</t>
  </si>
  <si>
    <t>CMD0089</t>
  </si>
  <si>
    <t>CMD0400</t>
  </si>
  <si>
    <t>CMD0091</t>
  </si>
  <si>
    <t>CMD0444</t>
  </si>
  <si>
    <t>CMD0451</t>
  </si>
  <si>
    <t>CMD0547</t>
  </si>
  <si>
    <t>C1210</t>
  </si>
  <si>
    <t>CMD0360</t>
  </si>
  <si>
    <t>C1086</t>
  </si>
  <si>
    <t>CMD0085</t>
  </si>
  <si>
    <t>CMD0552</t>
  </si>
  <si>
    <t>C1199</t>
  </si>
  <si>
    <t>CMD0321</t>
  </si>
  <si>
    <t>C1031</t>
  </si>
  <si>
    <t>CMD0371</t>
  </si>
  <si>
    <t>CMD0424</t>
  </si>
  <si>
    <t>CMD0377</t>
  </si>
  <si>
    <t>CMD0566</t>
  </si>
  <si>
    <t>CMD0253</t>
  </si>
  <si>
    <t>CMD0037</t>
  </si>
  <si>
    <t>CMD0057</t>
  </si>
  <si>
    <t>C1202</t>
  </si>
  <si>
    <t>CMD0244</t>
  </si>
  <si>
    <t>C1132</t>
  </si>
  <si>
    <t>CMD0342</t>
  </si>
  <si>
    <t>C1100</t>
  </si>
  <si>
    <t>CMD0515</t>
  </si>
  <si>
    <t>C1050</t>
  </si>
  <si>
    <t>CMD0536</t>
  </si>
  <si>
    <t>C1163</t>
  </si>
  <si>
    <t>CMD0582</t>
  </si>
  <si>
    <t>CMD0368</t>
  </si>
  <si>
    <t>CMD0511</t>
  </si>
  <si>
    <t>CMD0112</t>
  </si>
  <si>
    <t>C1092</t>
  </si>
  <si>
    <t>CMD0290</t>
  </si>
  <si>
    <t>CMD0463</t>
  </si>
  <si>
    <t>C1076</t>
  </si>
  <si>
    <t>CMD0005</t>
  </si>
  <si>
    <t>CMD0303</t>
  </si>
  <si>
    <t>CMD0403</t>
  </si>
  <si>
    <t>CMD0587</t>
  </si>
  <si>
    <t>CMD0099</t>
  </si>
  <si>
    <t>CMD0443</t>
  </si>
  <si>
    <t>CMD0595</t>
  </si>
  <si>
    <t>C1054</t>
  </si>
  <si>
    <t>CMD0042</t>
  </si>
  <si>
    <t>C1029</t>
  </si>
  <si>
    <t>CMD0052</t>
  </si>
  <si>
    <t>CMD0429</t>
  </si>
  <si>
    <t>CMD0149</t>
  </si>
  <si>
    <t>CMD0402</t>
  </si>
  <si>
    <t>CMD0523</t>
  </si>
  <si>
    <t>CMD0092</t>
  </si>
  <si>
    <t>CMD0113</t>
  </si>
  <si>
    <t>CMD0284</t>
  </si>
  <si>
    <t>CMD0072</t>
  </si>
  <si>
    <t>CMD0086</t>
  </si>
  <si>
    <t>C1133</t>
  </si>
  <si>
    <t>CMD0224</t>
  </si>
  <si>
    <t>C1065</t>
  </si>
  <si>
    <t>CMD0060</t>
  </si>
  <si>
    <t>CMD0184</t>
  </si>
  <si>
    <t>C1085</t>
  </si>
  <si>
    <t>CMD0524</t>
  </si>
  <si>
    <t>C1168</t>
  </si>
  <si>
    <t>CMD0124</t>
  </si>
  <si>
    <t>C1154</t>
  </si>
  <si>
    <t>CMD0156</t>
  </si>
  <si>
    <t>C1187</t>
  </si>
  <si>
    <t>CMD0344</t>
  </si>
  <si>
    <t>CMD0378</t>
  </si>
  <si>
    <t>CMD0130</t>
  </si>
  <si>
    <t>CMD0141</t>
  </si>
  <si>
    <t>CMD0259</t>
  </si>
  <si>
    <t xml:space="preserve"> Casque audio</t>
  </si>
  <si>
    <t>CMD0365</t>
  </si>
  <si>
    <t>CMD0459</t>
  </si>
  <si>
    <t>CMD0068</t>
  </si>
  <si>
    <t>CMD0073</t>
  </si>
  <si>
    <t>CMD0167</t>
  </si>
  <si>
    <t>CMD0408</t>
  </si>
  <si>
    <t>CMD0448</t>
  </si>
  <si>
    <t>CMD0480</t>
  </si>
  <si>
    <t>CMD0481</t>
  </si>
  <si>
    <t>CMD0561</t>
  </si>
  <si>
    <t>CMD0066</t>
  </si>
  <si>
    <t>C1177</t>
  </si>
  <si>
    <t>CMD0506</t>
  </si>
  <si>
    <t>CMD0573</t>
  </si>
  <si>
    <t>C1134</t>
  </si>
  <si>
    <t>CMD0036</t>
  </si>
  <si>
    <t>CMD0538</t>
  </si>
  <si>
    <t>CMD0175</t>
  </si>
  <si>
    <t>CMD0230</t>
  </si>
  <si>
    <t>CMD0312</t>
  </si>
  <si>
    <t>CMD0503</t>
  </si>
  <si>
    <t>CMD0150</t>
  </si>
  <si>
    <t>CMD0161</t>
  </si>
  <si>
    <t>CMD0449</t>
  </si>
  <si>
    <t>C1037</t>
  </si>
  <si>
    <t>CMD0575</t>
  </si>
  <si>
    <t>CMD0201</t>
  </si>
  <si>
    <t>C1069</t>
  </si>
  <si>
    <t>CMD0534</t>
  </si>
  <si>
    <t>CMD0580</t>
  </si>
  <si>
    <t>CMD0048</t>
  </si>
  <si>
    <t>CMD0197</t>
  </si>
  <si>
    <t>CMD0243</t>
  </si>
  <si>
    <t>CMD0296</t>
  </si>
  <si>
    <t>C1091</t>
  </si>
  <si>
    <t>CMD0461</t>
  </si>
  <si>
    <t>C1077</t>
  </si>
  <si>
    <t>CMD0553</t>
  </si>
  <si>
    <t>CMD0280</t>
  </si>
  <si>
    <t>CMD0425</t>
  </si>
  <si>
    <t>C1137</t>
  </si>
  <si>
    <t>CMD0210</t>
  </si>
  <si>
    <t>CMD0223</t>
  </si>
  <si>
    <t>CMD0520</t>
  </si>
  <si>
    <t>CMD0577</t>
  </si>
  <si>
    <t>CMD0546</t>
  </si>
  <si>
    <t>C1047</t>
  </si>
  <si>
    <t>CMD0084</t>
  </si>
  <si>
    <t>CMD0468</t>
  </si>
  <si>
    <t>CMD0008</t>
  </si>
  <si>
    <t>CMD0558</t>
  </si>
  <si>
    <t>C1119</t>
  </si>
  <si>
    <t>CMD0600</t>
  </si>
  <si>
    <t>CMD0318</t>
  </si>
  <si>
    <t>C1161</t>
  </si>
  <si>
    <t>CMD0164</t>
  </si>
  <si>
    <t>CMD0205</t>
  </si>
  <si>
    <t>C1070</t>
  </si>
  <si>
    <t>CMD0240</t>
  </si>
  <si>
    <t>CMD0262</t>
  </si>
  <si>
    <t>C1066</t>
  </si>
  <si>
    <t>CMD0316</t>
  </si>
  <si>
    <t>CMD0391</t>
  </si>
  <si>
    <t>CMD0027</t>
  </si>
  <si>
    <t>CMD0427</t>
  </si>
  <si>
    <t>C1009</t>
  </si>
  <si>
    <t>CMD0439</t>
  </si>
  <si>
    <t>CMD0476</t>
  </si>
  <si>
    <t>CMD0489</t>
  </si>
  <si>
    <t>CMD0584</t>
  </si>
  <si>
    <t>CMD0044</t>
  </si>
  <si>
    <t>CMD0341</t>
  </si>
  <si>
    <t>C1216</t>
  </si>
  <si>
    <t>CMD0381</t>
  </si>
  <si>
    <t>C1043</t>
  </si>
  <si>
    <t>CMD0394</t>
  </si>
  <si>
    <t>CMD0012</t>
  </si>
  <si>
    <t>CMD0142</t>
  </si>
  <si>
    <t>CMD0326</t>
  </si>
  <si>
    <t>CMD0327</t>
  </si>
  <si>
    <t>CMD0407</t>
  </si>
  <si>
    <t>CMD0001</t>
  </si>
  <si>
    <t>C1103</t>
  </si>
  <si>
    <t>CMD0165</t>
  </si>
  <si>
    <t>CMD0339</t>
  </si>
  <si>
    <t>C1206</t>
  </si>
  <si>
    <t>CMD0346</t>
  </si>
  <si>
    <t>C1170</t>
  </si>
  <si>
    <t>CMD0212</t>
  </si>
  <si>
    <t>CMD0299</t>
  </si>
  <si>
    <t>CMD0389</t>
  </si>
  <si>
    <t>CMD0591</t>
  </si>
  <si>
    <t>CMD0039</t>
  </si>
  <si>
    <t>CMD0101</t>
  </si>
  <si>
    <t>CMD0291</t>
  </si>
  <si>
    <t>CMD0512</t>
  </si>
  <si>
    <t>CMD0257</t>
  </si>
  <si>
    <t>C1007</t>
  </si>
  <si>
    <t>CMD0359</t>
  </si>
  <si>
    <t>CMD0405</t>
  </si>
  <si>
    <t>C1186</t>
  </si>
  <si>
    <t>CMD0519</t>
  </si>
  <si>
    <t>C1071</t>
  </si>
  <si>
    <t>CMD0131</t>
  </si>
  <si>
    <t>CMD0194</t>
  </si>
  <si>
    <t>CMD0437</t>
  </si>
  <si>
    <t>C1244</t>
  </si>
  <si>
    <t>CMD0576</t>
  </si>
  <si>
    <t>CMD0527</t>
  </si>
  <si>
    <t>C1128</t>
  </si>
  <si>
    <t>CMD0544</t>
  </si>
  <si>
    <t>CMD0006</t>
  </si>
  <si>
    <t>CMD0074</t>
  </si>
  <si>
    <t>C1104</t>
  </si>
  <si>
    <t>CMD0082</t>
  </si>
  <si>
    <t>CMD0095</t>
  </si>
  <si>
    <t>CMD0100</t>
  </si>
  <si>
    <t>C1240</t>
  </si>
  <si>
    <t>CMD0176</t>
  </si>
  <si>
    <t>CMD0019</t>
  </si>
  <si>
    <t>C1224</t>
  </si>
  <si>
    <t>CMD0059</t>
  </si>
  <si>
    <t>CMD0237</t>
  </si>
  <si>
    <t>CMD0431</t>
  </si>
  <si>
    <t>C1222</t>
  </si>
  <si>
    <t>CMD0541</t>
  </si>
  <si>
    <t>CMD0557</t>
  </si>
  <si>
    <t>CMD0331</t>
  </si>
  <si>
    <t>CMD0385</t>
  </si>
  <si>
    <t>CMD0477</t>
  </si>
  <si>
    <t>CMD0080</t>
  </si>
  <si>
    <t>CMD0103</t>
  </si>
  <si>
    <t>CMD0109</t>
  </si>
  <si>
    <t>C1114</t>
  </si>
  <si>
    <t>CMD0221</t>
  </si>
  <si>
    <t>CMD0539</t>
  </si>
  <si>
    <t>C1020</t>
  </si>
  <si>
    <t>CMD0032</t>
  </si>
  <si>
    <t>C1067</t>
  </si>
  <si>
    <t>CMD0518</t>
  </si>
  <si>
    <t>CMD0579</t>
  </si>
  <si>
    <t>C1228</t>
  </si>
  <si>
    <t>CMD0002</t>
  </si>
  <si>
    <t>C1088</t>
  </si>
  <si>
    <t>CMD0120</t>
  </si>
  <si>
    <t>CMD0139</t>
  </si>
  <si>
    <t>CMD0173</t>
  </si>
  <si>
    <t>CMD0226</t>
  </si>
  <si>
    <t>CMD0041</t>
  </si>
  <si>
    <t>C1231</t>
  </si>
  <si>
    <t>CMD0107</t>
  </si>
  <si>
    <t>CMD0252</t>
  </si>
  <si>
    <t>CMD0329</t>
  </si>
  <si>
    <t>CMD0590</t>
  </si>
  <si>
    <t>CMD0029</t>
  </si>
  <si>
    <t>CMD0155</t>
  </si>
  <si>
    <t>CMD0199</t>
  </si>
  <si>
    <t>C1026</t>
  </si>
  <si>
    <t>CMD0202</t>
  </si>
  <si>
    <t>CMD0433</t>
  </si>
  <si>
    <t>C1204</t>
  </si>
  <si>
    <t>CMD0132</t>
  </si>
  <si>
    <t>CMD0180</t>
  </si>
  <si>
    <t>C1189</t>
  </si>
  <si>
    <t>CMD0285</t>
  </si>
  <si>
    <t>C1035</t>
  </si>
  <si>
    <t>CMD0308</t>
  </si>
  <si>
    <t>CMD0455</t>
  </si>
  <si>
    <t>CMD0399</t>
  </si>
  <si>
    <t>CMD0543</t>
  </si>
  <si>
    <t>CMD0487</t>
  </si>
  <si>
    <t>CMD0494</t>
  </si>
  <si>
    <t>CMD0166</t>
  </si>
  <si>
    <t>CMD0375</t>
  </si>
  <si>
    <t>CMD0009</t>
  </si>
  <si>
    <t>CMD0270</t>
  </si>
  <si>
    <t>CMD0310</t>
  </si>
  <si>
    <t>Paypal</t>
  </si>
  <si>
    <t>CMD0350</t>
  </si>
  <si>
    <t>CMD0174</t>
  </si>
  <si>
    <t>C1143</t>
  </si>
  <si>
    <t>CMD0200</t>
  </si>
  <si>
    <t>C1068</t>
  </si>
  <si>
    <t>CMD0207</t>
  </si>
  <si>
    <t>CMD0217</t>
  </si>
  <si>
    <t>CMD0436</t>
  </si>
  <si>
    <t>CMD0548</t>
  </si>
  <si>
    <t>CMD0583</t>
  </si>
  <si>
    <t>CMD0081</t>
  </si>
  <si>
    <t>CMD0254</t>
  </si>
  <si>
    <t>CMD0379</t>
  </si>
  <si>
    <t>CMD0414</t>
  </si>
  <si>
    <t>C1138</t>
  </si>
  <si>
    <t>CMD0168</t>
  </si>
  <si>
    <t>CMD0119</t>
  </si>
  <si>
    <t>CMD0272</t>
  </si>
  <si>
    <t>CMD0016</t>
  </si>
  <si>
    <t>CMD0067</t>
  </si>
  <si>
    <t>CMD0125</t>
  </si>
  <si>
    <t>C1039</t>
  </si>
  <si>
    <t>CMD0271</t>
  </si>
  <si>
    <t>CMD0098</t>
  </si>
  <si>
    <t>CMD0206</t>
  </si>
  <si>
    <t>CMD0589</t>
  </si>
  <si>
    <t>CMD0159</t>
  </si>
  <si>
    <t>CMD0274</t>
  </si>
  <si>
    <t>CMD0189</t>
  </si>
  <si>
    <t>CMD0144</t>
  </si>
  <si>
    <t>CMD0193</t>
  </si>
  <si>
    <t>CMD0231</t>
  </si>
  <si>
    <t>C1139</t>
  </si>
  <si>
    <t>CMD0007</t>
  </si>
  <si>
    <t>CMD0015</t>
  </si>
  <si>
    <t>CMD0219</t>
  </si>
  <si>
    <t>CMD0347</t>
  </si>
  <si>
    <t>CMD0355</t>
  </si>
  <si>
    <t>C1223</t>
  </si>
  <si>
    <t>CMD0499</t>
  </si>
  <si>
    <t>CMD0578</t>
  </si>
  <si>
    <t>CMD0594</t>
  </si>
  <si>
    <t>CMD0035</t>
  </si>
  <si>
    <t>CMD0186</t>
  </si>
  <si>
    <t>C1046</t>
  </si>
  <si>
    <t>CMD0233</t>
  </si>
  <si>
    <t>CMD0307</t>
  </si>
  <si>
    <t>CMD0369</t>
  </si>
  <si>
    <t>CMD0471</t>
  </si>
  <si>
    <t>CMD0251</t>
  </si>
  <si>
    <t>CMD0121</t>
  </si>
  <si>
    <t>CMD0430</t>
  </si>
  <si>
    <t>CMD0484</t>
  </si>
  <si>
    <t>C1061</t>
  </si>
  <si>
    <t>CMD0021</t>
  </si>
  <si>
    <t>CMD0276</t>
  </si>
  <si>
    <t>CMD0314</t>
  </si>
  <si>
    <t>CMD0367</t>
  </si>
  <si>
    <t>CMD0501</t>
  </si>
  <si>
    <t>C1041</t>
  </si>
  <si>
    <t>CMD0053</t>
  </si>
  <si>
    <t>CMD0137</t>
  </si>
  <si>
    <t>CMD0530</t>
  </si>
  <si>
    <t>CMD0047</t>
  </si>
  <si>
    <t>CMD0058</t>
  </si>
  <si>
    <t>CMD0187</t>
  </si>
  <si>
    <t>CMD0445</t>
  </si>
  <si>
    <t>CMD0014</t>
  </si>
  <si>
    <t>CMD0351</t>
  </si>
  <si>
    <t>CMD0493</t>
  </si>
  <si>
    <t>C1081</t>
  </si>
  <si>
    <t>CMD0043</t>
  </si>
  <si>
    <t>CMD0241</t>
  </si>
  <si>
    <t>CMD0428</t>
  </si>
  <si>
    <t>C1036</t>
  </si>
  <si>
    <t>CMD0522</t>
  </si>
  <si>
    <t>CMD0055</t>
  </si>
  <si>
    <t>CMD0129</t>
  </si>
  <si>
    <t>CMD0152</t>
  </si>
  <si>
    <t>CMD0250</t>
  </si>
  <si>
    <t>CMD0311</t>
  </si>
  <si>
    <t>CMD0136</t>
  </si>
  <si>
    <t>CMD0249</t>
  </si>
  <si>
    <t>CMD0306</t>
  </si>
  <si>
    <t>CMD0498</t>
  </si>
  <si>
    <t>CMD0517</t>
  </si>
  <si>
    <t>C1159</t>
  </si>
  <si>
    <t>CMD0581</t>
  </si>
  <si>
    <t>CMD0258</t>
  </si>
  <si>
    <t>CMD0384</t>
  </si>
  <si>
    <t>CMD0238</t>
  </si>
  <si>
    <t>CMD0286</t>
  </si>
  <si>
    <t>CMD0432</t>
  </si>
  <si>
    <t>CMD0395</t>
  </si>
  <si>
    <t>CMD0513</t>
  </si>
  <si>
    <t>CMD0413</t>
  </si>
  <si>
    <t>CMD0529</t>
  </si>
  <si>
    <t>C1196</t>
  </si>
  <si>
    <t>CMD0574</t>
  </si>
  <si>
    <t>C1149</t>
  </si>
  <si>
    <t>CMD0203</t>
  </si>
  <si>
    <t>CMD0278</t>
  </si>
  <si>
    <t>CMD0302</t>
  </si>
  <si>
    <t>CMD0398</t>
  </si>
  <si>
    <t>C1155</t>
  </si>
  <si>
    <t>CMD0545</t>
  </si>
  <si>
    <t>CMD0075</t>
  </si>
  <si>
    <t>CMD0077</t>
  </si>
  <si>
    <t>CMD0096</t>
  </si>
  <si>
    <t>CMD0335</t>
  </si>
  <si>
    <t>CMD0363</t>
  </si>
  <si>
    <t>CMD0277</t>
  </si>
  <si>
    <t>C1200</t>
  </si>
  <si>
    <t>CMD0298</t>
  </si>
  <si>
    <t>CMD0467</t>
  </si>
  <si>
    <t>CMD0064</t>
  </si>
  <si>
    <t>CMD0392</t>
  </si>
  <si>
    <t>CMD0421</t>
  </si>
  <si>
    <t>CMD0588</t>
  </si>
  <si>
    <t>CMD0117</t>
  </si>
  <si>
    <t>CMD0209</t>
  </si>
  <si>
    <t>CMD0247</t>
  </si>
  <si>
    <t>CMD0438</t>
  </si>
  <si>
    <t>CMD0097</t>
  </si>
  <si>
    <t>CMD0235</t>
  </si>
  <si>
    <t>CMD0397</t>
  </si>
  <si>
    <t>CMD0472</t>
  </si>
  <si>
    <t>CMD0026</t>
  </si>
  <si>
    <t>CMD0028</t>
  </si>
  <si>
    <t>C1145</t>
  </si>
  <si>
    <t>CMD0034</t>
  </si>
  <si>
    <t>CMD0046</t>
  </si>
  <si>
    <t>CMD0088</t>
  </si>
  <si>
    <t>CMD0191</t>
  </si>
  <si>
    <t>CMD0401</t>
  </si>
  <si>
    <t>CMD0555</t>
  </si>
  <si>
    <t>CMD0364</t>
  </si>
  <si>
    <t>CMD0022</t>
  </si>
  <si>
    <t>CMD0049</t>
  </si>
  <si>
    <t>CMD0153</t>
  </si>
  <si>
    <t>CMD0454</t>
  </si>
  <si>
    <t>CMD0475</t>
  </si>
  <si>
    <t>C1105</t>
  </si>
  <si>
    <t>CMD0017</t>
  </si>
  <si>
    <t>CMD0315</t>
  </si>
  <si>
    <t>CMD0370</t>
  </si>
  <si>
    <t>CMD0516</t>
  </si>
  <si>
    <t>CMD0056</t>
  </si>
  <si>
    <t>CMD0162</t>
  </si>
  <si>
    <t>CMD0214</t>
  </si>
  <si>
    <t>CMD0227</t>
  </si>
  <si>
    <t>CMD0442</t>
  </si>
  <si>
    <t>CMD0446</t>
  </si>
  <si>
    <t>CMD0054</t>
  </si>
  <si>
    <t>C1235</t>
  </si>
  <si>
    <t>CMD0263</t>
  </si>
  <si>
    <t>CMD0265</t>
  </si>
  <si>
    <t>CMD0458</t>
  </si>
  <si>
    <t>CMD0500</t>
  </si>
  <si>
    <t>C1006</t>
  </si>
  <si>
    <t>CMD0188</t>
  </si>
  <si>
    <t>CMD0234</t>
  </si>
  <si>
    <t>CMD0260</t>
  </si>
  <si>
    <t>CMD0301</t>
  </si>
  <si>
    <t>C1207</t>
  </si>
  <si>
    <t>CMD0357</t>
  </si>
  <si>
    <t>CMD0372</t>
  </si>
  <si>
    <t>CMD0374</t>
  </si>
  <si>
    <t>CMD0390</t>
  </si>
  <si>
    <t>C1219</t>
  </si>
  <si>
    <t>CMD0564</t>
  </si>
  <si>
    <t>CMD0143</t>
  </si>
  <si>
    <t>CMD0198</t>
  </si>
  <si>
    <t>CMD0554</t>
  </si>
  <si>
    <t>CMD0585</t>
  </si>
  <si>
    <t>CMD0105</t>
  </si>
  <si>
    <t>CMD0322</t>
  </si>
  <si>
    <t>CMD0419</t>
  </si>
  <si>
    <t>C1117</t>
  </si>
  <si>
    <t>CMD0440</t>
  </si>
  <si>
    <t>CMD0549</t>
  </si>
  <si>
    <t>CMD0556</t>
  </si>
  <si>
    <t>CMD0020</t>
  </si>
  <si>
    <t>CMD0356</t>
  </si>
  <si>
    <t>CMD0496</t>
  </si>
  <si>
    <t>CMD0528</t>
  </si>
  <si>
    <t>CMD0567</t>
  </si>
  <si>
    <t>CMD0192</t>
  </si>
  <si>
    <t>CMD0337</t>
  </si>
  <si>
    <t>CMD0353</t>
  </si>
  <si>
    <t>C1174</t>
  </si>
  <si>
    <t>CMD0508</t>
  </si>
  <si>
    <t>CMD0568</t>
  </si>
  <si>
    <t>CMD0268</t>
  </si>
  <si>
    <t>CMD0362</t>
  </si>
  <si>
    <t>CMD0417</t>
  </si>
  <si>
    <t>C1157</t>
  </si>
  <si>
    <t>CMD0525</t>
  </si>
  <si>
    <t>CMD0599</t>
  </si>
  <si>
    <t>CMD0292</t>
  </si>
  <si>
    <t>CMD0293</t>
  </si>
  <si>
    <t>CMD0297</t>
  </si>
  <si>
    <t>CMD0473</t>
  </si>
  <si>
    <t>CMD0571</t>
  </si>
  <si>
    <t>CMD0090</t>
  </si>
  <si>
    <t>CMD0126</t>
  </si>
  <si>
    <t>CMD0182</t>
  </si>
  <si>
    <t>CMD0319</t>
  </si>
  <si>
    <t>CMD0336</t>
  </si>
  <si>
    <t>CMD0422</t>
  </si>
  <si>
    <t>CMD0469</t>
  </si>
  <si>
    <t>CMD0482</t>
  </si>
  <si>
    <t>CMD0225</t>
  </si>
  <si>
    <t>ANALYSE DES PERFORMANCES COMMERCIALES</t>
  </si>
  <si>
    <t>INDICATEURS CLÉS</t>
  </si>
  <si>
    <t>Chiffre d'affaires total</t>
  </si>
  <si>
    <t>Nombre de commandes</t>
  </si>
  <si>
    <t>Quantité vendue</t>
  </si>
  <si>
    <t>Panier moyen</t>
  </si>
  <si>
    <t>CA PAR MOIS</t>
  </si>
  <si>
    <t>CA PAR CATÉGORIE</t>
  </si>
  <si>
    <t>Mois</t>
  </si>
  <si>
    <t>CA</t>
  </si>
  <si>
    <t>Part</t>
  </si>
  <si>
    <t>DASHBOARD — PERFORMANCES COMMERCIALES</t>
  </si>
  <si>
    <t>CA TOTAL</t>
  </si>
  <si>
    <t>COMMANDES</t>
  </si>
  <si>
    <t>PANIER MOYEN</t>
  </si>
  <si>
    <t>Janvier</t>
  </si>
  <si>
    <t>Février</t>
  </si>
  <si>
    <t>Mars</t>
  </si>
  <si>
    <t>Avril</t>
  </si>
  <si>
    <t>Mai</t>
  </si>
  <si>
    <t>Juin</t>
  </si>
  <si>
    <t>CA PAR RÉGION</t>
  </si>
  <si>
    <t>CA PAR CANAL</t>
  </si>
  <si>
    <t>TOP PRODUITS</t>
  </si>
  <si>
    <t>QUESTIONS BUSINESS &amp; RÉPONSES</t>
  </si>
  <si>
    <t>RECOMMANDATIONS</t>
  </si>
  <si>
    <t>INSIGHTS CLÉS</t>
  </si>
  <si>
    <t>Évolution du chiffre d'affaires</t>
  </si>
  <si>
    <t>Catégorie la plus performante</t>
  </si>
  <si>
    <t>Mois le plus performant</t>
  </si>
  <si>
    <t>Produits les plus performants</t>
  </si>
  <si>
    <t>Renforcer le canal web</t>
  </si>
  <si>
    <t>Le site web génère 47,6 % du CA. Optimiser les campagnes digitales et le parcours d'achat pourrait permettre de soutenir sa croissance.</t>
  </si>
  <si>
    <t>Capitaliser sur la catégorie Maison</t>
  </si>
  <si>
    <t>Avec 28,2% du CA, Maison est la catégorie n°1. Des offres combinées et ventes croisées pourraient augmenter le panier moyen.</t>
  </si>
  <si>
    <t>Investiguer la baisse du CA</t>
  </si>
  <si>
    <t>S1 2026 l Analyse des performances commerciales</t>
  </si>
  <si>
    <t>Mars est le meilleur mois : 12 442,50 € de CA. Le CA recule ensuite jusqu'à 10 200,45 € en juin (-16,3% vs janvier).</t>
  </si>
  <si>
    <t>Maison est la catégorie n°1 : 19 273,40 € de CA, soit 28,2% du CA total.</t>
  </si>
  <si>
    <t>L'Île-de-France est le premier marché avec 22 318,80 € de CA, soit 32,6 % du CA total.</t>
  </si>
  <si>
    <t>Le site web domine les canaux : 32 565,85 € de CA, soit 47,6% du CA total.</t>
  </si>
  <si>
    <t>QUANTITÉ VENDUE</t>
  </si>
  <si>
    <t>Région et canal générant le plus de CA</t>
  </si>
  <si>
    <t>Le CA passe de 12 180,70 € en janvier à 10 200,45 € en juin, soit une baisse de 16,3 %. Après un pic à 12 442,50 € en mars, le CA diminue chaque mois jusqu'en juin.</t>
  </si>
  <si>
    <t>La catégorie Maison génère le CA le plus élevé avec 19 273,40 €, soit 28,2 % du CA total. Elle est suivie par l'Électronique avec 16 983,80 €.</t>
  </si>
  <si>
    <t>Mars est le mois le plus performant avec 12 442,50 € de CA, soit le niveau le plus élevé du semestre.</t>
  </si>
  <si>
    <t>La Cafetière (6 880,50 €), l'Aspirateur balai (6 381,35 €) et le Sèche-cheveux (5 532,00 €) sont les trois produits générant le plus de CA.</t>
  </si>
  <si>
    <t>L'Île-de-France génère le CA régional le plus élevé avec 22 318,80 € (32,6 %). Le site web est le premier canal avec 32 565,85 € (47,6 % du CA).</t>
  </si>
  <si>
    <t>Le CA recule après mars et atteint son niveau le plus faible en juin. Une analyse du trafic, des campagnes et du taux de conversion permettrait d'identifier les facteurs associés à cette baisse.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</si>
</sst>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* #,##0.00_)\ &quot;€&quot;_ ;_ * \(#,##0.00\)\ &quot;€&quot;_ ;_ * &quot;-&quot;??_)\ &quot;€&quot;_ ;_ @_ "/>
    <numFmt numFmtId="165" formatCode="#,##0.00\ \€"/>
    <numFmt numFmtId="166" formatCode="0.0%"/>
    <numFmt numFmtId="167" formatCode="_-* #,##0.00\ [$€-40C]_-;\-* #,##0.00\ [$€-40C]_-;_-* &quot;-&quot;??\ [$€-40C]_-;_-@_-"/>
  </numFmts>
  <fonts count="15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theme="0"/>
      <name val="Calibri"/>
      <family val="2"/>
    </font>
    <font>
      <b/>
      <sz val="18"/>
      <color theme="0"/>
      <name val="Calibri"/>
      <family val="2"/>
    </font>
    <font>
      <sz val="11"/>
      <name val="Calibri"/>
      <family val="2"/>
    </font>
    <font>
      <b/>
      <sz val="18"/>
      <color theme="0"/>
      <name val="Calibri (Corps)"/>
    </font>
    <font>
      <i/>
      <sz val="11"/>
      <color theme="1" tint="0.34998626667073579"/>
      <name val="Calibri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1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1" fillId="0" borderId="0" xfId="0" applyFont="1"/>
    <xf numFmtId="0" fontId="0" fillId="0" borderId="0" xfId="0"/>
    <xf numFmtId="0" fontId="0" fillId="0" borderId="7" xfId="0" applyBorder="1"/>
    <xf numFmtId="0" fontId="0" fillId="0" borderId="9" xfId="0" applyBorder="1"/>
    <xf numFmtId="0" fontId="0" fillId="0" borderId="7" xfId="0" applyBorder="1" applyAlignment="1"/>
    <xf numFmtId="0" fontId="0" fillId="0" borderId="9" xfId="0" applyBorder="1" applyAlignmen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" fillId="0" borderId="7" xfId="0" applyFont="1" applyBorder="1"/>
    <xf numFmtId="10" fontId="0" fillId="0" borderId="8" xfId="2" applyNumberFormat="1" applyFont="1" applyBorder="1"/>
    <xf numFmtId="10" fontId="0" fillId="0" borderId="10" xfId="2" applyNumberFormat="1" applyFont="1" applyBorder="1"/>
    <xf numFmtId="10" fontId="6" fillId="0" borderId="8" xfId="2" applyNumberFormat="1" applyFont="1" applyBorder="1"/>
    <xf numFmtId="0" fontId="0" fillId="0" borderId="8" xfId="0" applyBorder="1"/>
    <xf numFmtId="0" fontId="0" fillId="0" borderId="10" xfId="0" applyBorder="1"/>
    <xf numFmtId="3" fontId="0" fillId="0" borderId="8" xfId="0" applyNumberFormat="1" applyBorder="1"/>
    <xf numFmtId="0" fontId="2" fillId="0" borderId="0" xfId="0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0" xfId="0" applyBorder="1"/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5" fillId="0" borderId="13" xfId="0" applyFont="1" applyBorder="1"/>
    <xf numFmtId="0" fontId="5" fillId="0" borderId="15" xfId="0" applyFont="1" applyBorder="1"/>
    <xf numFmtId="167" fontId="0" fillId="0" borderId="8" xfId="0" applyNumberFormat="1" applyBorder="1"/>
    <xf numFmtId="167" fontId="0" fillId="0" borderId="10" xfId="0" applyNumberFormat="1" applyBorder="1"/>
    <xf numFmtId="0" fontId="7" fillId="4" borderId="5" xfId="0" applyFont="1" applyFill="1" applyBorder="1" applyAlignment="1">
      <alignment horizontal="left" vertical="top"/>
    </xf>
    <xf numFmtId="0" fontId="7" fillId="4" borderId="6" xfId="0" applyFont="1" applyFill="1" applyBorder="1" applyAlignment="1">
      <alignment horizontal="left" vertical="top"/>
    </xf>
    <xf numFmtId="0" fontId="7" fillId="4" borderId="19" xfId="0" applyFont="1" applyFill="1" applyBorder="1"/>
    <xf numFmtId="0" fontId="7" fillId="4" borderId="20" xfId="0" applyFont="1" applyFill="1" applyBorder="1"/>
    <xf numFmtId="0" fontId="7" fillId="4" borderId="21" xfId="0" applyFont="1" applyFill="1" applyBorder="1"/>
    <xf numFmtId="0" fontId="7" fillId="4" borderId="13" xfId="0" applyFont="1" applyFill="1" applyBorder="1"/>
    <xf numFmtId="0" fontId="7" fillId="4" borderId="14" xfId="0" applyFont="1" applyFill="1" applyBorder="1"/>
    <xf numFmtId="0" fontId="7" fillId="4" borderId="15" xfId="0" applyFont="1" applyFill="1" applyBorder="1"/>
    <xf numFmtId="44" fontId="0" fillId="0" borderId="4" xfId="1" applyFont="1" applyBorder="1"/>
    <xf numFmtId="44" fontId="0" fillId="0" borderId="11" xfId="1" applyFont="1" applyBorder="1"/>
    <xf numFmtId="44" fontId="6" fillId="0" borderId="8" xfId="1" applyFont="1" applyBorder="1" applyAlignment="1">
      <alignment horizontal="left" vertical="top"/>
    </xf>
    <xf numFmtId="44" fontId="0" fillId="0" borderId="8" xfId="1" applyFont="1" applyBorder="1" applyAlignment="1">
      <alignment horizontal="left" vertical="top"/>
    </xf>
    <xf numFmtId="44" fontId="0" fillId="0" borderId="10" xfId="1" applyFont="1" applyBorder="1" applyAlignment="1">
      <alignment horizontal="left" vertical="top"/>
    </xf>
    <xf numFmtId="44" fontId="6" fillId="0" borderId="4" xfId="1" applyFont="1" applyBorder="1"/>
    <xf numFmtId="44" fontId="0" fillId="0" borderId="8" xfId="1" applyFont="1" applyBorder="1"/>
    <xf numFmtId="44" fontId="0" fillId="0" borderId="10" xfId="1" applyFont="1" applyBorder="1"/>
    <xf numFmtId="0" fontId="8" fillId="4" borderId="0" xfId="0" applyFont="1" applyFill="1"/>
    <xf numFmtId="0" fontId="0" fillId="0" borderId="0" xfId="0" applyAlignment="1"/>
    <xf numFmtId="0" fontId="9" fillId="0" borderId="7" xfId="0" applyFont="1" applyBorder="1"/>
    <xf numFmtId="0" fontId="9" fillId="0" borderId="9" xfId="0" applyFont="1" applyBorder="1"/>
    <xf numFmtId="44" fontId="4" fillId="0" borderId="8" xfId="1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7" xfId="0" applyFont="1" applyBorder="1" applyAlignment="1"/>
    <xf numFmtId="167" fontId="6" fillId="0" borderId="4" xfId="0" applyNumberFormat="1" applyFont="1" applyBorder="1" applyAlignment="1"/>
    <xf numFmtId="166" fontId="6" fillId="0" borderId="8" xfId="0" applyNumberFormat="1" applyFont="1" applyBorder="1" applyAlignment="1"/>
    <xf numFmtId="44" fontId="0" fillId="0" borderId="4" xfId="1" applyFont="1" applyBorder="1" applyAlignment="1"/>
    <xf numFmtId="166" fontId="0" fillId="0" borderId="8" xfId="0" applyNumberFormat="1" applyBorder="1" applyAlignment="1"/>
    <xf numFmtId="44" fontId="0" fillId="0" borderId="11" xfId="1" applyFont="1" applyBorder="1" applyAlignment="1"/>
    <xf numFmtId="166" fontId="0" fillId="0" borderId="10" xfId="0" applyNumberFormat="1" applyBorder="1" applyAlignment="1"/>
    <xf numFmtId="44" fontId="6" fillId="0" borderId="4" xfId="1" applyFont="1" applyBorder="1" applyAlignment="1"/>
    <xf numFmtId="10" fontId="6" fillId="0" borderId="8" xfId="2" applyNumberFormat="1" applyFont="1" applyBorder="1" applyAlignment="1"/>
    <xf numFmtId="10" fontId="0" fillId="0" borderId="8" xfId="2" applyNumberFormat="1" applyFont="1" applyBorder="1" applyAlignment="1"/>
    <xf numFmtId="10" fontId="0" fillId="0" borderId="10" xfId="2" applyNumberFormat="1" applyFont="1" applyBorder="1" applyAlignment="1"/>
    <xf numFmtId="0" fontId="7" fillId="4" borderId="26" xfId="0" applyFont="1" applyFill="1" applyBorder="1"/>
    <xf numFmtId="0" fontId="7" fillId="4" borderId="27" xfId="0" applyFont="1" applyFill="1" applyBorder="1"/>
    <xf numFmtId="0" fontId="7" fillId="4" borderId="26" xfId="0" applyFont="1" applyFill="1" applyBorder="1" applyAlignment="1"/>
    <xf numFmtId="0" fontId="7" fillId="4" borderId="28" xfId="0" applyFont="1" applyFill="1" applyBorder="1" applyAlignment="1"/>
    <xf numFmtId="0" fontId="7" fillId="4" borderId="27" xfId="0" applyFont="1" applyFill="1" applyBorder="1" applyAlignment="1"/>
    <xf numFmtId="0" fontId="7" fillId="4" borderId="1" xfId="0" applyFont="1" applyFill="1" applyBorder="1" applyAlignment="1"/>
    <xf numFmtId="0" fontId="7" fillId="4" borderId="2" xfId="0" applyFont="1" applyFill="1" applyBorder="1" applyAlignment="1"/>
    <xf numFmtId="0" fontId="7" fillId="4" borderId="3" xfId="0" applyFont="1" applyFill="1" applyBorder="1" applyAlignment="1"/>
    <xf numFmtId="0" fontId="9" fillId="0" borderId="7" xfId="0" applyFont="1" applyBorder="1" applyAlignment="1"/>
    <xf numFmtId="0" fontId="9" fillId="0" borderId="4" xfId="0" applyFont="1" applyBorder="1" applyAlignment="1"/>
    <xf numFmtId="0" fontId="9" fillId="0" borderId="8" xfId="0" applyFont="1" applyBorder="1" applyAlignment="1"/>
    <xf numFmtId="0" fontId="9" fillId="0" borderId="7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0" fillId="0" borderId="16" xfId="0" applyFont="1" applyBorder="1"/>
    <xf numFmtId="0" fontId="0" fillId="0" borderId="17" xfId="0" applyFont="1" applyBorder="1"/>
    <xf numFmtId="0" fontId="0" fillId="0" borderId="18" xfId="0" applyFont="1" applyBorder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7" xfId="0" applyFont="1" applyBorder="1"/>
    <xf numFmtId="0" fontId="0" fillId="0" borderId="4" xfId="0" applyFont="1" applyBorder="1"/>
    <xf numFmtId="0" fontId="0" fillId="0" borderId="8" xfId="0" applyFont="1" applyBorder="1"/>
    <xf numFmtId="0" fontId="10" fillId="4" borderId="0" xfId="0" applyFont="1" applyFill="1" applyAlignment="1">
      <alignment horizontal="center"/>
    </xf>
    <xf numFmtId="0" fontId="11" fillId="0" borderId="23" xfId="0" applyFont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165" fontId="1" fillId="5" borderId="4" xfId="0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0" fillId="0" borderId="22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0" xfId="0" quotePrefix="1" applyAlignment="1">
      <alignment vertical="top" wrapText="1"/>
    </xf>
    <xf numFmtId="0" fontId="5" fillId="0" borderId="0" xfId="0" applyFont="1" applyAlignment="1">
      <alignment vertical="top" wrapText="1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Chiffre</a:t>
            </a:r>
            <a:r>
              <a:rPr lang="en-US" b="1" baseline="0"/>
              <a:t> d'affaires</a:t>
            </a:r>
          </a:p>
          <a:p>
            <a:pPr>
              <a:defRPr/>
            </a:pPr>
            <a:r>
              <a:rPr lang="en-US" b="1"/>
              <a:t> par région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Dashboard!$K$12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Dashboard!$J$13:$J$17</c:f>
              <c:strCache>
                <c:ptCount val="5"/>
                <c:pt idx="0">
                  <c:v>Île-de-France</c:v>
                </c:pt>
                <c:pt idx="1">
                  <c:v>Auvergne-Rhône-Alpes</c:v>
                </c:pt>
                <c:pt idx="2">
                  <c:v>Occitanie</c:v>
                </c:pt>
                <c:pt idx="3">
                  <c:v>Nouvelle-Aquitaine</c:v>
                </c:pt>
                <c:pt idx="4">
                  <c:v>Hauts-de-France</c:v>
                </c:pt>
              </c:strCache>
            </c:strRef>
          </c:cat>
          <c:val>
            <c:numRef>
              <c:f>Dashboard!$K$13:$K$17</c:f>
              <c:numCache>
                <c:formatCode>_-* #,##0.00\ [$€-40C]_-;\-* #,##0.00\ [$€-40C]_-;_-* "-"??\ [$€-40C]_-;_-@_-</c:formatCode>
                <c:ptCount val="5"/>
                <c:pt idx="0">
                  <c:v>22318.800000000003</c:v>
                </c:pt>
                <c:pt idx="1">
                  <c:v>15506.300000000003</c:v>
                </c:pt>
                <c:pt idx="2">
                  <c:v>13549.000000000002</c:v>
                </c:pt>
                <c:pt idx="3">
                  <c:v>8855.9</c:v>
                </c:pt>
                <c:pt idx="4">
                  <c:v>8166.05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5-8B43-9E9F-34C52BA99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097216"/>
        <c:axId val="2145099488"/>
      </c:barChart>
      <c:catAx>
        <c:axId val="21450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5099488"/>
        <c:crosses val="autoZero"/>
        <c:auto val="1"/>
        <c:lblAlgn val="ctr"/>
        <c:lblOffset val="100"/>
        <c:noMultiLvlLbl val="0"/>
      </c:catAx>
      <c:valAx>
        <c:axId val="21450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C]_-;\-* #,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509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 par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Dashboard!$N$12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Dashboard!$M$13:$M$15</c:f>
              <c:strCache>
                <c:ptCount val="3"/>
                <c:pt idx="0">
                  <c:v>Site web</c:v>
                </c:pt>
                <c:pt idx="1">
                  <c:v>Application mobile</c:v>
                </c:pt>
                <c:pt idx="2">
                  <c:v>Magasin</c:v>
                </c:pt>
              </c:strCache>
            </c:strRef>
          </c:cat>
          <c:val>
            <c:numRef>
              <c:f>Dashboard!$N$13:$N$15</c:f>
              <c:numCache>
                <c:formatCode>_-* #,##0.00\ [$€-40C]_-;\-* #,##0.00\ [$€-40C]_-;_-* "-"??\ [$€-40C]_-;_-@_-</c:formatCode>
                <c:ptCount val="3"/>
                <c:pt idx="0">
                  <c:v>32565.850000000006</c:v>
                </c:pt>
                <c:pt idx="1">
                  <c:v>18517.700000000004</c:v>
                </c:pt>
                <c:pt idx="2">
                  <c:v>17312.500000000004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8-8A44-A52E-2C570A164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3364256"/>
        <c:axId val="2101942512"/>
      </c:barChart>
      <c:catAx>
        <c:axId val="20433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942512"/>
        <c:crosses val="autoZero"/>
        <c:auto val="1"/>
        <c:lblAlgn val="ctr"/>
        <c:lblOffset val="100"/>
        <c:noMultiLvlLbl val="0"/>
      </c:catAx>
      <c:valAx>
        <c:axId val="21019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C]_-;\-* #,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336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Évolution</a:t>
            </a:r>
            <a:r>
              <a:rPr lang="fr-FR" b="1" baseline="0"/>
              <a:t> du chiffre d'affaires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Dashboard!$K$3</c:f>
              <c:strCache>
                <c:ptCount val="1"/>
                <c:pt idx="0">
                  <c:v>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Dashboard!$J$4:$J$9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Dashboard!$K$4:$K$9</c:f>
              <c:numCache>
                <c:formatCode>_-* #,##0.00\ [$€-40C]_-;\-* #,##0.00\ [$€-40C]_-;_-* "-"??\ [$€-40C]_-;_-@_-</c:formatCode>
                <c:ptCount val="6"/>
                <c:pt idx="0">
                  <c:v>12180.7</c:v>
                </c:pt>
                <c:pt idx="1">
                  <c:v>11328.700000000003</c:v>
                </c:pt>
                <c:pt idx="2">
                  <c:v>12442.500000000002</c:v>
                </c:pt>
                <c:pt idx="3">
                  <c:v>11420.349999999999</c:v>
                </c:pt>
                <c:pt idx="4">
                  <c:v>10823.35</c:v>
                </c:pt>
                <c:pt idx="5">
                  <c:v>10200.450000000003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9-EE43-BAC9-1EDEB6800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997807"/>
        <c:axId val="507119375"/>
      </c:lineChart>
      <c:catAx>
        <c:axId val="50699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7119375"/>
        <c:crosses val="autoZero"/>
        <c:auto val="1"/>
        <c:lblAlgn val="ctr"/>
        <c:lblOffset val="100"/>
        <c:noMultiLvlLbl val="0"/>
      </c:catAx>
      <c:valAx>
        <c:axId val="50711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C]_-;\-* #,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99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CA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Dashboard!$N$3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Dashboard!$M$4:$M$8</c:f>
              <c:strCache>
                <c:ptCount val="5"/>
                <c:pt idx="0">
                  <c:v>Maison</c:v>
                </c:pt>
                <c:pt idx="1">
                  <c:v>Électronique</c:v>
                </c:pt>
                <c:pt idx="2">
                  <c:v>Vêtements</c:v>
                </c:pt>
                <c:pt idx="3">
                  <c:v>Beauté</c:v>
                </c:pt>
                <c:pt idx="4">
                  <c:v>Sport</c:v>
                </c:pt>
              </c:strCache>
            </c:strRef>
          </c:cat>
          <c:val>
            <c:numRef>
              <c:f>Dashboard!$N$4:$N$8</c:f>
              <c:numCache>
                <c:formatCode>_-* #,##0.00\ [$€-40C]_-;\-* #,##0.00\ [$€-40C]_-;_-* "-"??\ [$€-40C]_-;_-@_-</c:formatCode>
                <c:ptCount val="5"/>
                <c:pt idx="0">
                  <c:v>19273.400000000009</c:v>
                </c:pt>
                <c:pt idx="1">
                  <c:v>16983.800000000003</c:v>
                </c:pt>
                <c:pt idx="2">
                  <c:v>14702</c:v>
                </c:pt>
                <c:pt idx="3">
                  <c:v>11514.749999999998</c:v>
                </c:pt>
                <c:pt idx="4">
                  <c:v>5922.1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0-6645-BA74-F5B405E0D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99136"/>
        <c:axId val="40861983"/>
      </c:barChart>
      <c:catAx>
        <c:axId val="20987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861983"/>
        <c:crosses val="autoZero"/>
        <c:auto val="1"/>
        <c:lblAlgn val="ctr"/>
        <c:lblOffset val="100"/>
        <c:noMultiLvlLbl val="0"/>
      </c:catAx>
      <c:valAx>
        <c:axId val="4086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C]_-;\-* #,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879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19050</xdr:rowOff>
    </xdr:from>
    <xdr:to>
      <xdr:col>3</xdr:col>
      <xdr:colOff>1117600</xdr:colOff>
      <xdr:row>33</xdr:row>
      <xdr:rowOff>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D446955-9CCF-C191-5ADF-F74934606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18</xdr:row>
      <xdr:rowOff>19050</xdr:rowOff>
    </xdr:from>
    <xdr:to>
      <xdr:col>8</xdr:col>
      <xdr:colOff>12700</xdr:colOff>
      <xdr:row>33</xdr:row>
      <xdr:rowOff>12700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4F1DCFD-EAC2-8072-EDD9-E0AEACB32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</xdr:row>
      <xdr:rowOff>6350</xdr:rowOff>
    </xdr:from>
    <xdr:to>
      <xdr:col>3</xdr:col>
      <xdr:colOff>1117600</xdr:colOff>
      <xdr:row>18</xdr:row>
      <xdr:rowOff>12700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1D14B22-348A-FE11-D9C5-77D1257E2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1123950</xdr:colOff>
      <xdr:row>4</xdr:row>
      <xdr:rowOff>6350</xdr:rowOff>
    </xdr:from>
    <xdr:to>
      <xdr:col>8</xdr:col>
      <xdr:colOff>25400</xdr:colOff>
      <xdr:row>18</xdr:row>
      <xdr:rowOff>50800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EDA0FA6-6E00-6DC5-2F83-AA59EE34B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nnéesbrutes" displayName="Donnéesbrutes" ref="A1:K601">
  <autoFilter ref="A1:K601" xr:uid="{00000000-0009-0000-0100-000001000000}"/>
  <tableColumns count="11">
    <tableColumn id="1" xr3:uid="{00000000-0010-0000-0000-000001000000}" name="Commande"/>
    <tableColumn id="2" xr3:uid="{00000000-0010-0000-0000-000002000000}" name="Date"/>
    <tableColumn id="3" xr3:uid="{00000000-0010-0000-0000-000003000000}" name="Client_ID"/>
    <tableColumn id="4" xr3:uid="{00000000-0010-0000-0000-000004000000}" name="Région"/>
    <tableColumn id="5" xr3:uid="{00000000-0010-0000-0000-000005000000}" name="Canal"/>
    <tableColumn id="6" xr3:uid="{00000000-0010-0000-0000-000006000000}" name="Catégorie"/>
    <tableColumn id="7" xr3:uid="{00000000-0010-0000-0000-000007000000}" name="Produit"/>
    <tableColumn id="8" xr3:uid="{00000000-0010-0000-0000-000008000000}" name="Quantité"/>
    <tableColumn id="9" xr3:uid="{00000000-0010-0000-0000-000009000000}" name="Prix_unitaire"/>
    <tableColumn id="10" xr3:uid="{00000000-0010-0000-0000-00000A000000}" name="Paiement"/>
    <tableColumn id="11" xr3:uid="{00000000-0010-0000-0000-00000B000000}" name="Chiffre_affai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nnéesnettoyées" displayName="Donnéesnettoyées" ref="A1:K601">
  <autoFilter ref="A1:K601" xr:uid="{00000000-0009-0000-0100-000002000000}"/>
  <tableColumns count="11">
    <tableColumn id="1" xr3:uid="{00000000-0010-0000-0100-000001000000}" name="Commande"/>
    <tableColumn id="2" xr3:uid="{00000000-0010-0000-0100-000002000000}" name="Date"/>
    <tableColumn id="3" xr3:uid="{00000000-0010-0000-0100-000003000000}" name="Client_ID"/>
    <tableColumn id="4" xr3:uid="{00000000-0010-0000-0100-000004000000}" name="Région"/>
    <tableColumn id="5" xr3:uid="{00000000-0010-0000-0100-000005000000}" name="Canal"/>
    <tableColumn id="6" xr3:uid="{00000000-0010-0000-0100-000006000000}" name="Catégorie"/>
    <tableColumn id="7" xr3:uid="{00000000-0010-0000-0100-000007000000}" name="Produit"/>
    <tableColumn id="8" xr3:uid="{00000000-0010-0000-0100-000008000000}" name="Quantité"/>
    <tableColumn id="9" xr3:uid="{00000000-0010-0000-0100-000009000000}" name="Prix_unitaire"/>
    <tableColumn id="10" xr3:uid="{00000000-0010-0000-0100-00000A000000}" name="Paiement"/>
    <tableColumn id="11" xr3:uid="{00000000-0010-0000-0100-00000B000000}" name="Chiffre_affai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F1"/>
    </sheetView>
  </sheetViews>
  <sheetFormatPr baseColWidth="10" defaultColWidth="8.83203125" defaultRowHeight="15" x14ac:dyDescent="0.2"/>
  <cols>
    <col min="1" max="1" width="18" customWidth="1"/>
    <col min="2" max="2" width="110" customWidth="1"/>
  </cols>
  <sheetData>
    <row r="1" spans="1:6" ht="24" x14ac:dyDescent="0.3">
      <c r="A1" s="7" t="s">
        <v>0</v>
      </c>
      <c r="B1" s="8"/>
      <c r="C1" s="8"/>
      <c r="D1" s="8"/>
      <c r="E1" s="8"/>
      <c r="F1" s="8"/>
    </row>
    <row r="3" spans="1:6" ht="32" x14ac:dyDescent="0.2">
      <c r="A3" s="1" t="s">
        <v>1</v>
      </c>
      <c r="B3" s="2" t="s">
        <v>2</v>
      </c>
    </row>
    <row r="4" spans="1:6" ht="16" x14ac:dyDescent="0.2">
      <c r="A4" s="1" t="s">
        <v>3</v>
      </c>
      <c r="B4" s="2" t="s">
        <v>4</v>
      </c>
    </row>
    <row r="5" spans="1:6" ht="16" x14ac:dyDescent="0.2">
      <c r="A5" s="1" t="s">
        <v>5</v>
      </c>
      <c r="B5" s="2" t="s">
        <v>6</v>
      </c>
    </row>
    <row r="6" spans="1:6" ht="16" x14ac:dyDescent="0.2">
      <c r="A6" s="1" t="s">
        <v>7</v>
      </c>
      <c r="B6" s="2" t="s">
        <v>8</v>
      </c>
    </row>
    <row r="7" spans="1:6" ht="16" x14ac:dyDescent="0.2">
      <c r="A7" s="1" t="s">
        <v>9</v>
      </c>
      <c r="B7" s="2" t="s">
        <v>10</v>
      </c>
    </row>
    <row r="8" spans="1:6" ht="16" x14ac:dyDescent="0.2">
      <c r="A8" s="1" t="s">
        <v>11</v>
      </c>
      <c r="B8" s="2" t="s">
        <v>12</v>
      </c>
    </row>
    <row r="9" spans="1:6" ht="16" x14ac:dyDescent="0.2">
      <c r="A9" s="1" t="s">
        <v>13</v>
      </c>
      <c r="B9" s="2" t="s">
        <v>14</v>
      </c>
    </row>
    <row r="10" spans="1:6" ht="16" x14ac:dyDescent="0.2">
      <c r="A10" s="1" t="s">
        <v>15</v>
      </c>
      <c r="B10" s="2" t="s">
        <v>16</v>
      </c>
    </row>
    <row r="11" spans="1:6" ht="16" x14ac:dyDescent="0.2">
      <c r="A11" s="1" t="s">
        <v>17</v>
      </c>
      <c r="B11" s="2" t="s">
        <v>18</v>
      </c>
    </row>
    <row r="12" spans="1:6" ht="16" x14ac:dyDescent="0.2">
      <c r="A12" s="1" t="s">
        <v>19</v>
      </c>
      <c r="B12" s="2" t="s">
        <v>20</v>
      </c>
    </row>
  </sheetData>
  <mergeCells count="1">
    <mergeCell ref="A1:F1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1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1" width="18" customWidth="1"/>
  </cols>
  <sheetData>
    <row r="1" spans="1:11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</row>
    <row r="2" spans="1:11" x14ac:dyDescent="0.2">
      <c r="A2" t="s">
        <v>32</v>
      </c>
      <c r="B2" s="4">
        <v>46023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>
        <v>1</v>
      </c>
      <c r="I2" s="5">
        <v>35</v>
      </c>
      <c r="J2" t="s">
        <v>38</v>
      </c>
      <c r="K2" s="5">
        <v>35</v>
      </c>
    </row>
    <row r="3" spans="1:11" x14ac:dyDescent="0.2">
      <c r="A3" t="s">
        <v>39</v>
      </c>
      <c r="B3" s="4">
        <v>46023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>
        <v>1</v>
      </c>
      <c r="I3" s="5">
        <v>89.1</v>
      </c>
      <c r="J3" t="s">
        <v>38</v>
      </c>
      <c r="K3" s="5">
        <v>89.1</v>
      </c>
    </row>
    <row r="4" spans="1:11" x14ac:dyDescent="0.2">
      <c r="A4" t="s">
        <v>45</v>
      </c>
      <c r="B4" s="4">
        <v>46023</v>
      </c>
      <c r="C4" t="s">
        <v>46</v>
      </c>
      <c r="D4" t="s">
        <v>47</v>
      </c>
      <c r="E4" t="s">
        <v>42</v>
      </c>
      <c r="F4" t="s">
        <v>43</v>
      </c>
      <c r="G4" t="s">
        <v>48</v>
      </c>
      <c r="H4">
        <v>1</v>
      </c>
      <c r="I4" s="5">
        <v>187.95</v>
      </c>
      <c r="J4" t="s">
        <v>38</v>
      </c>
      <c r="K4" s="5">
        <v>187.95</v>
      </c>
    </row>
    <row r="5" spans="1:11" x14ac:dyDescent="0.2">
      <c r="A5" t="s">
        <v>49</v>
      </c>
      <c r="B5" s="4">
        <v>46023</v>
      </c>
      <c r="C5" t="s">
        <v>50</v>
      </c>
      <c r="D5" t="s">
        <v>47</v>
      </c>
      <c r="E5" t="s">
        <v>35</v>
      </c>
      <c r="F5" t="s">
        <v>51</v>
      </c>
      <c r="G5" t="s">
        <v>52</v>
      </c>
      <c r="H5">
        <v>1</v>
      </c>
      <c r="I5" s="5">
        <v>40.5</v>
      </c>
      <c r="J5" t="s">
        <v>38</v>
      </c>
      <c r="K5" s="5">
        <v>40.5</v>
      </c>
    </row>
    <row r="6" spans="1:11" x14ac:dyDescent="0.2">
      <c r="A6" t="s">
        <v>53</v>
      </c>
      <c r="B6" s="4">
        <v>46023</v>
      </c>
      <c r="C6" t="s">
        <v>54</v>
      </c>
      <c r="D6" t="s">
        <v>47</v>
      </c>
      <c r="E6" t="s">
        <v>42</v>
      </c>
      <c r="F6" t="s">
        <v>51</v>
      </c>
      <c r="G6" t="s">
        <v>55</v>
      </c>
      <c r="H6">
        <v>1</v>
      </c>
      <c r="I6" s="5">
        <v>19.8</v>
      </c>
      <c r="J6" t="s">
        <v>38</v>
      </c>
      <c r="K6" s="5">
        <v>19.8</v>
      </c>
    </row>
    <row r="7" spans="1:11" x14ac:dyDescent="0.2">
      <c r="A7" t="s">
        <v>56</v>
      </c>
      <c r="B7" s="4">
        <v>46024</v>
      </c>
      <c r="C7" t="s">
        <v>57</v>
      </c>
      <c r="D7" t="s">
        <v>58</v>
      </c>
      <c r="E7" t="s">
        <v>35</v>
      </c>
      <c r="F7" t="s">
        <v>59</v>
      </c>
      <c r="G7" t="s">
        <v>60</v>
      </c>
      <c r="H7">
        <v>1</v>
      </c>
      <c r="I7" s="5">
        <v>120</v>
      </c>
      <c r="J7" t="s">
        <v>61</v>
      </c>
      <c r="K7" s="5">
        <v>120</v>
      </c>
    </row>
    <row r="8" spans="1:11" x14ac:dyDescent="0.2">
      <c r="A8" t="s">
        <v>62</v>
      </c>
      <c r="B8" s="4">
        <v>46025</v>
      </c>
      <c r="C8" t="s">
        <v>63</v>
      </c>
      <c r="D8" t="s">
        <v>47</v>
      </c>
      <c r="E8" t="s">
        <v>35</v>
      </c>
      <c r="F8" t="s">
        <v>59</v>
      </c>
      <c r="G8" t="s">
        <v>64</v>
      </c>
      <c r="H8">
        <v>5</v>
      </c>
      <c r="I8" s="5">
        <v>16.2</v>
      </c>
      <c r="J8" t="s">
        <v>65</v>
      </c>
      <c r="K8" s="5">
        <v>81</v>
      </c>
    </row>
    <row r="9" spans="1:11" x14ac:dyDescent="0.2">
      <c r="A9" t="s">
        <v>66</v>
      </c>
      <c r="B9" s="4">
        <v>46025</v>
      </c>
      <c r="C9" t="s">
        <v>67</v>
      </c>
      <c r="D9" t="s">
        <v>58</v>
      </c>
      <c r="E9" t="s">
        <v>35</v>
      </c>
      <c r="F9" t="s">
        <v>36</v>
      </c>
      <c r="G9" t="s">
        <v>68</v>
      </c>
      <c r="H9">
        <v>2</v>
      </c>
      <c r="I9" s="5">
        <v>82.95</v>
      </c>
      <c r="J9" t="s">
        <v>38</v>
      </c>
      <c r="K9" s="5">
        <v>165.9</v>
      </c>
    </row>
    <row r="10" spans="1:11" x14ac:dyDescent="0.2">
      <c r="A10" t="s">
        <v>69</v>
      </c>
      <c r="B10" s="4">
        <v>46026</v>
      </c>
      <c r="C10" t="s">
        <v>70</v>
      </c>
      <c r="D10" t="s">
        <v>41</v>
      </c>
      <c r="E10" t="s">
        <v>35</v>
      </c>
      <c r="F10" t="s">
        <v>71</v>
      </c>
      <c r="G10" t="s">
        <v>72</v>
      </c>
      <c r="H10">
        <v>1</v>
      </c>
      <c r="I10" s="5">
        <v>55</v>
      </c>
      <c r="J10" t="s">
        <v>38</v>
      </c>
      <c r="K10" s="5">
        <v>55</v>
      </c>
    </row>
    <row r="11" spans="1:11" x14ac:dyDescent="0.2">
      <c r="A11" t="s">
        <v>73</v>
      </c>
      <c r="B11" s="4">
        <v>46027</v>
      </c>
      <c r="C11" t="s">
        <v>74</v>
      </c>
      <c r="D11" t="s">
        <v>58</v>
      </c>
      <c r="E11" t="s">
        <v>35</v>
      </c>
      <c r="F11" t="s">
        <v>36</v>
      </c>
      <c r="G11" t="s">
        <v>68</v>
      </c>
      <c r="H11">
        <v>2</v>
      </c>
      <c r="I11" s="5">
        <v>79</v>
      </c>
      <c r="J11" t="s">
        <v>38</v>
      </c>
      <c r="K11" s="5">
        <v>158</v>
      </c>
    </row>
    <row r="12" spans="1:11" x14ac:dyDescent="0.2">
      <c r="A12" t="s">
        <v>75</v>
      </c>
      <c r="B12" s="4">
        <v>46027</v>
      </c>
      <c r="C12" t="s">
        <v>76</v>
      </c>
      <c r="D12" t="s">
        <v>58</v>
      </c>
      <c r="E12" t="s">
        <v>35</v>
      </c>
      <c r="F12" t="s">
        <v>43</v>
      </c>
      <c r="G12" t="s">
        <v>77</v>
      </c>
      <c r="H12">
        <v>1</v>
      </c>
      <c r="I12" s="5">
        <v>47.25</v>
      </c>
      <c r="J12" t="s">
        <v>38</v>
      </c>
      <c r="K12" s="5">
        <v>47.25</v>
      </c>
    </row>
    <row r="13" spans="1:11" x14ac:dyDescent="0.2">
      <c r="A13" t="s">
        <v>78</v>
      </c>
      <c r="B13" s="4">
        <v>46027</v>
      </c>
      <c r="C13" t="s">
        <v>79</v>
      </c>
      <c r="D13" t="s">
        <v>41</v>
      </c>
      <c r="E13" t="s">
        <v>42</v>
      </c>
      <c r="F13" t="s">
        <v>59</v>
      </c>
      <c r="G13" t="s">
        <v>80</v>
      </c>
      <c r="H13">
        <v>2</v>
      </c>
      <c r="I13" s="5">
        <v>35</v>
      </c>
      <c r="J13" t="s">
        <v>38</v>
      </c>
      <c r="K13" s="5">
        <v>70</v>
      </c>
    </row>
    <row r="14" spans="1:11" x14ac:dyDescent="0.2">
      <c r="A14" t="s">
        <v>81</v>
      </c>
      <c r="B14" s="4">
        <v>46028</v>
      </c>
      <c r="C14" t="s">
        <v>82</v>
      </c>
      <c r="D14" t="s">
        <v>58</v>
      </c>
      <c r="E14" t="s">
        <v>42</v>
      </c>
      <c r="F14" t="s">
        <v>43</v>
      </c>
      <c r="G14" t="s">
        <v>83</v>
      </c>
      <c r="H14">
        <v>4</v>
      </c>
      <c r="I14" s="5">
        <v>40.950000000000003</v>
      </c>
      <c r="J14" t="s">
        <v>65</v>
      </c>
      <c r="K14" s="5">
        <v>163.80000000000001</v>
      </c>
    </row>
    <row r="15" spans="1:11" x14ac:dyDescent="0.2">
      <c r="A15" t="s">
        <v>84</v>
      </c>
      <c r="B15" s="4">
        <v>46028</v>
      </c>
      <c r="C15" t="s">
        <v>70</v>
      </c>
      <c r="D15" t="s">
        <v>47</v>
      </c>
      <c r="E15" t="s">
        <v>35</v>
      </c>
      <c r="F15" t="s">
        <v>36</v>
      </c>
      <c r="G15" t="s">
        <v>85</v>
      </c>
      <c r="H15">
        <v>1</v>
      </c>
      <c r="I15" s="5">
        <v>89</v>
      </c>
      <c r="J15" t="s">
        <v>65</v>
      </c>
      <c r="K15" s="5">
        <v>89</v>
      </c>
    </row>
    <row r="16" spans="1:11" x14ac:dyDescent="0.2">
      <c r="A16" t="s">
        <v>86</v>
      </c>
      <c r="B16" s="4">
        <v>46028</v>
      </c>
      <c r="C16" t="s">
        <v>87</v>
      </c>
      <c r="D16" t="s">
        <v>34</v>
      </c>
      <c r="E16" t="s">
        <v>35</v>
      </c>
      <c r="F16" t="s">
        <v>71</v>
      </c>
      <c r="G16" t="s">
        <v>88</v>
      </c>
      <c r="H16">
        <v>2</v>
      </c>
      <c r="I16" s="5">
        <v>78.75</v>
      </c>
      <c r="J16" t="s">
        <v>38</v>
      </c>
      <c r="K16" s="5">
        <v>157.5</v>
      </c>
    </row>
    <row r="17" spans="1:11" x14ac:dyDescent="0.2">
      <c r="A17" t="s">
        <v>89</v>
      </c>
      <c r="B17" s="4">
        <v>46029</v>
      </c>
      <c r="C17" t="s">
        <v>90</v>
      </c>
      <c r="D17" t="s">
        <v>47</v>
      </c>
      <c r="E17" t="s">
        <v>91</v>
      </c>
      <c r="F17" t="s">
        <v>71</v>
      </c>
      <c r="G17" t="s">
        <v>92</v>
      </c>
      <c r="H17">
        <v>5</v>
      </c>
      <c r="I17" s="5">
        <v>65</v>
      </c>
      <c r="J17" t="s">
        <v>65</v>
      </c>
      <c r="K17" s="5">
        <v>325</v>
      </c>
    </row>
    <row r="18" spans="1:11" x14ac:dyDescent="0.2">
      <c r="A18" t="s">
        <v>93</v>
      </c>
      <c r="B18" s="4">
        <v>46029</v>
      </c>
      <c r="C18" t="s">
        <v>94</v>
      </c>
      <c r="D18" t="s">
        <v>47</v>
      </c>
      <c r="E18" t="s">
        <v>42</v>
      </c>
      <c r="F18" t="s">
        <v>71</v>
      </c>
      <c r="G18" t="s">
        <v>95</v>
      </c>
      <c r="H18">
        <v>1</v>
      </c>
      <c r="I18" s="5">
        <v>20</v>
      </c>
      <c r="J18" t="s">
        <v>38</v>
      </c>
      <c r="K18" s="5">
        <v>20</v>
      </c>
    </row>
    <row r="19" spans="1:11" x14ac:dyDescent="0.2">
      <c r="A19" t="s">
        <v>96</v>
      </c>
      <c r="B19" s="4">
        <v>46030</v>
      </c>
      <c r="C19" t="s">
        <v>97</v>
      </c>
      <c r="D19" t="s">
        <v>98</v>
      </c>
      <c r="E19" t="s">
        <v>35</v>
      </c>
      <c r="F19" t="s">
        <v>51</v>
      </c>
      <c r="G19" t="s">
        <v>99</v>
      </c>
      <c r="H19">
        <v>5</v>
      </c>
      <c r="I19" s="5">
        <v>18</v>
      </c>
      <c r="J19" t="s">
        <v>61</v>
      </c>
      <c r="K19" s="5">
        <v>90</v>
      </c>
    </row>
    <row r="20" spans="1:11" x14ac:dyDescent="0.2">
      <c r="A20" t="s">
        <v>100</v>
      </c>
      <c r="B20" s="4">
        <v>46030</v>
      </c>
      <c r="C20" t="s">
        <v>101</v>
      </c>
      <c r="D20" t="s">
        <v>41</v>
      </c>
      <c r="E20" t="s">
        <v>35</v>
      </c>
      <c r="F20" t="s">
        <v>59</v>
      </c>
      <c r="G20" t="s">
        <v>64</v>
      </c>
      <c r="H20">
        <v>1</v>
      </c>
      <c r="I20" s="5">
        <v>18</v>
      </c>
      <c r="J20" t="s">
        <v>38</v>
      </c>
      <c r="K20" s="5">
        <v>18</v>
      </c>
    </row>
    <row r="21" spans="1:11" x14ac:dyDescent="0.2">
      <c r="A21" t="s">
        <v>102</v>
      </c>
      <c r="B21" s="4">
        <v>46030</v>
      </c>
      <c r="C21" t="s">
        <v>103</v>
      </c>
      <c r="D21" t="s">
        <v>41</v>
      </c>
      <c r="E21" t="s">
        <v>35</v>
      </c>
      <c r="F21" t="s">
        <v>71</v>
      </c>
      <c r="G21" t="s">
        <v>92</v>
      </c>
      <c r="H21">
        <v>4</v>
      </c>
      <c r="I21" s="5">
        <v>68.25</v>
      </c>
      <c r="J21" t="s">
        <v>38</v>
      </c>
      <c r="K21" s="5">
        <v>273</v>
      </c>
    </row>
    <row r="22" spans="1:11" x14ac:dyDescent="0.2">
      <c r="A22" t="s">
        <v>104</v>
      </c>
      <c r="B22" s="4">
        <v>46030</v>
      </c>
      <c r="C22" t="s">
        <v>105</v>
      </c>
      <c r="D22" t="s">
        <v>58</v>
      </c>
      <c r="E22" t="s">
        <v>35</v>
      </c>
      <c r="F22" t="s">
        <v>59</v>
      </c>
      <c r="G22" t="s">
        <v>106</v>
      </c>
      <c r="H22">
        <v>2</v>
      </c>
      <c r="I22" s="5">
        <v>28</v>
      </c>
      <c r="J22" t="s">
        <v>61</v>
      </c>
      <c r="K22" s="5">
        <v>56</v>
      </c>
    </row>
    <row r="23" spans="1:11" x14ac:dyDescent="0.2">
      <c r="A23" t="s">
        <v>107</v>
      </c>
      <c r="B23" s="4">
        <v>46030</v>
      </c>
      <c r="C23" t="s">
        <v>108</v>
      </c>
      <c r="D23" t="s">
        <v>47</v>
      </c>
      <c r="E23" t="s">
        <v>91</v>
      </c>
      <c r="F23" t="s">
        <v>59</v>
      </c>
      <c r="G23" t="s">
        <v>60</v>
      </c>
      <c r="H23">
        <v>1</v>
      </c>
      <c r="I23" s="5">
        <v>120</v>
      </c>
      <c r="J23" t="s">
        <v>61</v>
      </c>
      <c r="K23" s="5">
        <v>120</v>
      </c>
    </row>
    <row r="24" spans="1:11" x14ac:dyDescent="0.2">
      <c r="A24" t="s">
        <v>109</v>
      </c>
      <c r="B24" s="4">
        <v>46030</v>
      </c>
      <c r="C24" t="s">
        <v>110</v>
      </c>
      <c r="D24" t="s">
        <v>34</v>
      </c>
      <c r="E24" t="s">
        <v>35</v>
      </c>
      <c r="F24" t="s">
        <v>59</v>
      </c>
      <c r="G24" t="s">
        <v>111</v>
      </c>
      <c r="H24">
        <v>1</v>
      </c>
      <c r="I24" s="5">
        <v>78.75</v>
      </c>
      <c r="J24" t="s">
        <v>38</v>
      </c>
      <c r="K24" s="5">
        <v>78.75</v>
      </c>
    </row>
    <row r="25" spans="1:11" x14ac:dyDescent="0.2">
      <c r="A25" t="s">
        <v>112</v>
      </c>
      <c r="B25" s="4">
        <v>46031</v>
      </c>
      <c r="C25" t="s">
        <v>113</v>
      </c>
      <c r="D25" t="s">
        <v>114</v>
      </c>
      <c r="E25" t="s">
        <v>91</v>
      </c>
      <c r="F25" t="s">
        <v>51</v>
      </c>
      <c r="G25" t="s">
        <v>52</v>
      </c>
      <c r="H25">
        <v>1</v>
      </c>
      <c r="I25" s="5">
        <v>45</v>
      </c>
      <c r="J25" t="s">
        <v>61</v>
      </c>
      <c r="K25" s="5">
        <v>45</v>
      </c>
    </row>
    <row r="26" spans="1:11" x14ac:dyDescent="0.2">
      <c r="A26" t="s">
        <v>115</v>
      </c>
      <c r="B26" s="4">
        <v>46032</v>
      </c>
      <c r="C26" t="s">
        <v>116</v>
      </c>
      <c r="D26" t="s">
        <v>58</v>
      </c>
      <c r="E26" t="s">
        <v>35</v>
      </c>
      <c r="F26" t="s">
        <v>36</v>
      </c>
      <c r="G26" t="s">
        <v>85</v>
      </c>
      <c r="H26">
        <v>2</v>
      </c>
      <c r="I26" s="5">
        <v>80.099999999999994</v>
      </c>
      <c r="J26" t="s">
        <v>61</v>
      </c>
      <c r="K26" s="5">
        <v>160.19999999999999</v>
      </c>
    </row>
    <row r="27" spans="1:11" x14ac:dyDescent="0.2">
      <c r="A27" t="s">
        <v>117</v>
      </c>
      <c r="B27" s="4">
        <v>46032</v>
      </c>
      <c r="C27" t="s">
        <v>118</v>
      </c>
      <c r="D27" t="s">
        <v>41</v>
      </c>
      <c r="E27" t="s">
        <v>35</v>
      </c>
      <c r="F27" t="s">
        <v>51</v>
      </c>
      <c r="G27" t="s">
        <v>119</v>
      </c>
      <c r="H27">
        <v>2</v>
      </c>
      <c r="I27" s="5">
        <v>27</v>
      </c>
      <c r="J27" t="s">
        <v>65</v>
      </c>
      <c r="K27" s="5">
        <v>54</v>
      </c>
    </row>
    <row r="28" spans="1:11" x14ac:dyDescent="0.2">
      <c r="A28" t="s">
        <v>120</v>
      </c>
      <c r="B28" s="4">
        <v>46032</v>
      </c>
      <c r="C28" t="s">
        <v>121</v>
      </c>
      <c r="D28" t="s">
        <v>47</v>
      </c>
      <c r="E28" t="s">
        <v>35</v>
      </c>
      <c r="F28" t="s">
        <v>36</v>
      </c>
      <c r="G28" t="s">
        <v>122</v>
      </c>
      <c r="H28">
        <v>3</v>
      </c>
      <c r="I28" s="5">
        <v>22.5</v>
      </c>
      <c r="J28" t="s">
        <v>38</v>
      </c>
      <c r="K28" s="5">
        <v>67.5</v>
      </c>
    </row>
    <row r="29" spans="1:11" x14ac:dyDescent="0.2">
      <c r="A29" t="s">
        <v>123</v>
      </c>
      <c r="B29" s="4">
        <v>46032</v>
      </c>
      <c r="C29" t="s">
        <v>94</v>
      </c>
      <c r="D29" t="s">
        <v>34</v>
      </c>
      <c r="E29" t="s">
        <v>42</v>
      </c>
      <c r="F29" t="s">
        <v>51</v>
      </c>
      <c r="G29" t="s">
        <v>55</v>
      </c>
      <c r="H29">
        <v>1</v>
      </c>
      <c r="I29" s="5">
        <v>19.8</v>
      </c>
      <c r="J29" t="s">
        <v>38</v>
      </c>
      <c r="K29" s="5">
        <v>19.8</v>
      </c>
    </row>
    <row r="30" spans="1:11" x14ac:dyDescent="0.2">
      <c r="A30" t="s">
        <v>124</v>
      </c>
      <c r="B30" s="4">
        <v>46032</v>
      </c>
      <c r="C30" t="s">
        <v>125</v>
      </c>
      <c r="D30" t="s">
        <v>34</v>
      </c>
      <c r="E30" t="s">
        <v>35</v>
      </c>
      <c r="F30" t="s">
        <v>71</v>
      </c>
      <c r="G30" t="s">
        <v>72</v>
      </c>
      <c r="H30">
        <v>1</v>
      </c>
      <c r="I30" s="5">
        <v>55</v>
      </c>
      <c r="J30" t="s">
        <v>65</v>
      </c>
      <c r="K30" s="5">
        <v>55</v>
      </c>
    </row>
    <row r="31" spans="1:11" x14ac:dyDescent="0.2">
      <c r="A31" t="s">
        <v>126</v>
      </c>
      <c r="B31" s="4">
        <v>46032</v>
      </c>
      <c r="C31" t="s">
        <v>127</v>
      </c>
      <c r="D31" t="s">
        <v>58</v>
      </c>
      <c r="E31" t="s">
        <v>35</v>
      </c>
      <c r="F31" t="s">
        <v>36</v>
      </c>
      <c r="G31" t="s">
        <v>122</v>
      </c>
      <c r="H31">
        <v>1</v>
      </c>
      <c r="I31" s="5">
        <v>26.25</v>
      </c>
      <c r="J31" t="s">
        <v>61</v>
      </c>
      <c r="K31" s="5">
        <v>26.25</v>
      </c>
    </row>
    <row r="32" spans="1:11" x14ac:dyDescent="0.2">
      <c r="A32" t="s">
        <v>128</v>
      </c>
      <c r="B32" s="4">
        <v>46032</v>
      </c>
      <c r="C32" t="s">
        <v>129</v>
      </c>
      <c r="D32" t="s">
        <v>47</v>
      </c>
      <c r="E32" t="s">
        <v>35</v>
      </c>
      <c r="F32" t="s">
        <v>59</v>
      </c>
      <c r="G32" t="s">
        <v>106</v>
      </c>
      <c r="H32">
        <v>1</v>
      </c>
      <c r="I32" s="5">
        <v>28</v>
      </c>
      <c r="J32" t="s">
        <v>38</v>
      </c>
      <c r="K32" s="5">
        <v>28</v>
      </c>
    </row>
    <row r="33" spans="1:11" x14ac:dyDescent="0.2">
      <c r="A33" t="s">
        <v>130</v>
      </c>
      <c r="B33" s="4">
        <v>46033</v>
      </c>
      <c r="C33" t="s">
        <v>131</v>
      </c>
      <c r="D33" t="s">
        <v>47</v>
      </c>
      <c r="E33" t="s">
        <v>91</v>
      </c>
      <c r="F33" t="s">
        <v>59</v>
      </c>
      <c r="G33" t="s">
        <v>80</v>
      </c>
      <c r="H33">
        <v>1</v>
      </c>
      <c r="I33" s="5">
        <v>35</v>
      </c>
      <c r="J33" t="s">
        <v>61</v>
      </c>
      <c r="K33" s="5">
        <v>35</v>
      </c>
    </row>
    <row r="34" spans="1:11" x14ac:dyDescent="0.2">
      <c r="A34" t="s">
        <v>132</v>
      </c>
      <c r="B34" s="4">
        <v>46033</v>
      </c>
      <c r="C34" t="s">
        <v>79</v>
      </c>
      <c r="D34" t="s">
        <v>47</v>
      </c>
      <c r="E34" t="s">
        <v>35</v>
      </c>
      <c r="F34" t="s">
        <v>71</v>
      </c>
      <c r="G34" t="s">
        <v>72</v>
      </c>
      <c r="H34">
        <v>4</v>
      </c>
      <c r="I34" s="5">
        <v>55</v>
      </c>
      <c r="J34" t="s">
        <v>38</v>
      </c>
      <c r="K34" s="5">
        <v>220</v>
      </c>
    </row>
    <row r="35" spans="1:11" x14ac:dyDescent="0.2">
      <c r="A35" t="s">
        <v>133</v>
      </c>
      <c r="B35" s="4">
        <v>46033</v>
      </c>
      <c r="C35" t="s">
        <v>134</v>
      </c>
      <c r="D35" t="s">
        <v>58</v>
      </c>
      <c r="E35" t="s">
        <v>35</v>
      </c>
      <c r="F35" t="s">
        <v>36</v>
      </c>
      <c r="G35" t="s">
        <v>37</v>
      </c>
      <c r="H35">
        <v>1</v>
      </c>
      <c r="I35" s="5">
        <v>35</v>
      </c>
      <c r="J35" t="s">
        <v>65</v>
      </c>
      <c r="K35" s="5">
        <v>35</v>
      </c>
    </row>
    <row r="36" spans="1:11" x14ac:dyDescent="0.2">
      <c r="A36" t="s">
        <v>135</v>
      </c>
      <c r="B36" s="4">
        <v>46034</v>
      </c>
      <c r="C36" t="s">
        <v>136</v>
      </c>
      <c r="D36" t="s">
        <v>41</v>
      </c>
      <c r="E36" t="s">
        <v>91</v>
      </c>
      <c r="F36" t="s">
        <v>71</v>
      </c>
      <c r="G36" t="s">
        <v>137</v>
      </c>
      <c r="H36">
        <v>3</v>
      </c>
      <c r="I36" s="5">
        <v>110</v>
      </c>
      <c r="J36" t="s">
        <v>38</v>
      </c>
      <c r="K36" s="5">
        <v>330</v>
      </c>
    </row>
    <row r="37" spans="1:11" x14ac:dyDescent="0.2">
      <c r="A37" t="s">
        <v>138</v>
      </c>
      <c r="B37" s="4">
        <v>46035</v>
      </c>
      <c r="C37" t="s">
        <v>139</v>
      </c>
      <c r="D37" t="s">
        <v>47</v>
      </c>
      <c r="E37" t="s">
        <v>35</v>
      </c>
      <c r="F37" t="s">
        <v>71</v>
      </c>
      <c r="G37" t="s">
        <v>137</v>
      </c>
      <c r="H37">
        <v>3</v>
      </c>
      <c r="I37" s="5">
        <v>110</v>
      </c>
      <c r="J37" t="s">
        <v>38</v>
      </c>
      <c r="K37" s="5">
        <v>330</v>
      </c>
    </row>
    <row r="38" spans="1:11" x14ac:dyDescent="0.2">
      <c r="A38" t="s">
        <v>140</v>
      </c>
      <c r="B38" s="4">
        <v>46035</v>
      </c>
      <c r="C38" t="s">
        <v>141</v>
      </c>
      <c r="D38" t="s">
        <v>58</v>
      </c>
      <c r="E38" t="s">
        <v>91</v>
      </c>
      <c r="F38" t="s">
        <v>43</v>
      </c>
      <c r="G38" t="s">
        <v>142</v>
      </c>
      <c r="H38">
        <v>1</v>
      </c>
      <c r="I38" s="5">
        <v>32</v>
      </c>
      <c r="J38" t="s">
        <v>61</v>
      </c>
      <c r="K38" s="5">
        <v>32</v>
      </c>
    </row>
    <row r="39" spans="1:11" x14ac:dyDescent="0.2">
      <c r="A39" t="s">
        <v>143</v>
      </c>
      <c r="B39" s="4">
        <v>46035</v>
      </c>
      <c r="C39" t="s">
        <v>144</v>
      </c>
      <c r="D39" t="s">
        <v>114</v>
      </c>
      <c r="E39" t="s">
        <v>91</v>
      </c>
      <c r="F39" t="s">
        <v>43</v>
      </c>
      <c r="G39" t="s">
        <v>83</v>
      </c>
      <c r="H39">
        <v>2</v>
      </c>
      <c r="I39" s="5">
        <v>39</v>
      </c>
      <c r="J39" t="s">
        <v>38</v>
      </c>
      <c r="K39" s="5">
        <v>78</v>
      </c>
    </row>
    <row r="40" spans="1:11" x14ac:dyDescent="0.2">
      <c r="A40" t="s">
        <v>145</v>
      </c>
      <c r="B40" s="4">
        <v>46036</v>
      </c>
      <c r="C40" t="s">
        <v>146</v>
      </c>
      <c r="D40" t="s">
        <v>47</v>
      </c>
      <c r="E40" t="s">
        <v>91</v>
      </c>
      <c r="F40" t="s">
        <v>36</v>
      </c>
      <c r="G40" t="s">
        <v>122</v>
      </c>
      <c r="H40">
        <v>2</v>
      </c>
      <c r="I40" s="5">
        <v>25</v>
      </c>
      <c r="J40" t="s">
        <v>38</v>
      </c>
      <c r="K40" s="5">
        <v>50</v>
      </c>
    </row>
    <row r="41" spans="1:11" x14ac:dyDescent="0.2">
      <c r="A41" t="s">
        <v>147</v>
      </c>
      <c r="B41" s="4">
        <v>46036</v>
      </c>
      <c r="C41" t="s">
        <v>148</v>
      </c>
      <c r="D41" t="s">
        <v>58</v>
      </c>
      <c r="E41" t="s">
        <v>42</v>
      </c>
      <c r="F41" t="s">
        <v>43</v>
      </c>
      <c r="G41" t="s">
        <v>142</v>
      </c>
      <c r="H41">
        <v>1</v>
      </c>
      <c r="I41" s="5">
        <v>28.8</v>
      </c>
      <c r="J41" t="s">
        <v>65</v>
      </c>
      <c r="K41" s="5">
        <v>28.8</v>
      </c>
    </row>
    <row r="42" spans="1:11" x14ac:dyDescent="0.2">
      <c r="A42" t="s">
        <v>149</v>
      </c>
      <c r="B42" s="4">
        <v>46036</v>
      </c>
      <c r="C42" t="s">
        <v>57</v>
      </c>
      <c r="D42" t="s">
        <v>47</v>
      </c>
      <c r="E42" t="s">
        <v>91</v>
      </c>
      <c r="F42" t="s">
        <v>36</v>
      </c>
      <c r="G42" t="s">
        <v>37</v>
      </c>
      <c r="H42">
        <v>1</v>
      </c>
      <c r="I42" s="5">
        <v>35</v>
      </c>
      <c r="J42" t="s">
        <v>38</v>
      </c>
      <c r="K42" s="5">
        <v>35</v>
      </c>
    </row>
    <row r="43" spans="1:11" x14ac:dyDescent="0.2">
      <c r="A43" t="s">
        <v>150</v>
      </c>
      <c r="B43" s="4">
        <v>46036</v>
      </c>
      <c r="C43" t="s">
        <v>151</v>
      </c>
      <c r="D43" t="s">
        <v>58</v>
      </c>
      <c r="E43" t="s">
        <v>35</v>
      </c>
      <c r="F43" t="s">
        <v>36</v>
      </c>
      <c r="G43" t="s">
        <v>152</v>
      </c>
      <c r="H43">
        <v>3</v>
      </c>
      <c r="I43" s="5">
        <v>59</v>
      </c>
      <c r="J43" t="s">
        <v>38</v>
      </c>
      <c r="K43" s="5">
        <v>177</v>
      </c>
    </row>
    <row r="44" spans="1:11" x14ac:dyDescent="0.2">
      <c r="A44" t="s">
        <v>153</v>
      </c>
      <c r="B44" s="4">
        <v>46036</v>
      </c>
      <c r="C44" t="s">
        <v>154</v>
      </c>
      <c r="D44" t="s">
        <v>41</v>
      </c>
      <c r="E44" t="s">
        <v>42</v>
      </c>
      <c r="F44" t="s">
        <v>51</v>
      </c>
      <c r="G44" t="s">
        <v>155</v>
      </c>
      <c r="H44">
        <v>2</v>
      </c>
      <c r="I44" s="5">
        <v>63</v>
      </c>
      <c r="J44" t="s">
        <v>38</v>
      </c>
      <c r="K44" s="5">
        <v>126</v>
      </c>
    </row>
    <row r="45" spans="1:11" x14ac:dyDescent="0.2">
      <c r="A45" t="s">
        <v>156</v>
      </c>
      <c r="B45" s="4">
        <v>46036</v>
      </c>
      <c r="C45" t="s">
        <v>157</v>
      </c>
      <c r="D45" t="s">
        <v>41</v>
      </c>
      <c r="E45" t="s">
        <v>42</v>
      </c>
      <c r="F45" t="s">
        <v>51</v>
      </c>
      <c r="G45" t="s">
        <v>155</v>
      </c>
      <c r="H45">
        <v>2</v>
      </c>
      <c r="I45" s="5">
        <v>54</v>
      </c>
      <c r="J45" t="s">
        <v>38</v>
      </c>
      <c r="K45" s="5">
        <v>108</v>
      </c>
    </row>
    <row r="46" spans="1:11" x14ac:dyDescent="0.2">
      <c r="A46" t="s">
        <v>158</v>
      </c>
      <c r="B46" s="4">
        <v>46037</v>
      </c>
      <c r="C46" t="s">
        <v>159</v>
      </c>
      <c r="D46" t="s">
        <v>58</v>
      </c>
      <c r="E46" t="s">
        <v>91</v>
      </c>
      <c r="F46" t="s">
        <v>43</v>
      </c>
      <c r="G46" t="s">
        <v>48</v>
      </c>
      <c r="H46">
        <v>1</v>
      </c>
      <c r="I46" s="5">
        <v>179</v>
      </c>
      <c r="J46" t="s">
        <v>61</v>
      </c>
      <c r="K46" s="5">
        <v>179</v>
      </c>
    </row>
    <row r="47" spans="1:11" x14ac:dyDescent="0.2">
      <c r="A47" t="s">
        <v>160</v>
      </c>
      <c r="B47" s="4">
        <v>46037</v>
      </c>
      <c r="C47" t="s">
        <v>161</v>
      </c>
      <c r="D47" t="s">
        <v>41</v>
      </c>
      <c r="E47" t="s">
        <v>42</v>
      </c>
      <c r="F47" t="s">
        <v>36</v>
      </c>
      <c r="G47" t="s">
        <v>85</v>
      </c>
      <c r="H47">
        <v>1</v>
      </c>
      <c r="I47" s="5">
        <v>80.099999999999994</v>
      </c>
      <c r="J47" t="s">
        <v>38</v>
      </c>
      <c r="K47" s="5">
        <v>80.099999999999994</v>
      </c>
    </row>
    <row r="48" spans="1:11" x14ac:dyDescent="0.2">
      <c r="A48" t="s">
        <v>162</v>
      </c>
      <c r="B48" s="4">
        <v>46038</v>
      </c>
      <c r="C48" t="s">
        <v>163</v>
      </c>
      <c r="D48" t="s">
        <v>47</v>
      </c>
      <c r="E48" t="s">
        <v>42</v>
      </c>
      <c r="F48" t="s">
        <v>59</v>
      </c>
      <c r="G48" t="s">
        <v>111</v>
      </c>
      <c r="H48">
        <v>1</v>
      </c>
      <c r="I48" s="5">
        <v>78.75</v>
      </c>
      <c r="J48" t="s">
        <v>38</v>
      </c>
      <c r="K48" s="5">
        <v>78.75</v>
      </c>
    </row>
    <row r="49" spans="1:11" x14ac:dyDescent="0.2">
      <c r="A49" t="s">
        <v>164</v>
      </c>
      <c r="B49" s="4">
        <v>46038</v>
      </c>
      <c r="C49" t="s">
        <v>165</v>
      </c>
      <c r="D49" t="s">
        <v>47</v>
      </c>
      <c r="E49" t="s">
        <v>35</v>
      </c>
      <c r="F49" t="s">
        <v>59</v>
      </c>
      <c r="G49" t="s">
        <v>64</v>
      </c>
      <c r="H49">
        <v>3</v>
      </c>
      <c r="I49" s="5">
        <v>18</v>
      </c>
      <c r="J49" t="s">
        <v>61</v>
      </c>
      <c r="K49" s="5">
        <v>54</v>
      </c>
    </row>
    <row r="50" spans="1:11" x14ac:dyDescent="0.2">
      <c r="A50" t="s">
        <v>166</v>
      </c>
      <c r="B50" s="4">
        <v>46039</v>
      </c>
      <c r="C50" t="s">
        <v>167</v>
      </c>
      <c r="D50" t="s">
        <v>47</v>
      </c>
      <c r="E50" t="s">
        <v>42</v>
      </c>
      <c r="F50" t="s">
        <v>71</v>
      </c>
      <c r="G50" t="s">
        <v>137</v>
      </c>
      <c r="H50">
        <v>1</v>
      </c>
      <c r="I50" s="5">
        <v>99</v>
      </c>
      <c r="J50" t="s">
        <v>38</v>
      </c>
      <c r="K50" s="5">
        <v>99</v>
      </c>
    </row>
    <row r="51" spans="1:11" x14ac:dyDescent="0.2">
      <c r="A51" t="s">
        <v>168</v>
      </c>
      <c r="B51" s="4">
        <v>46039</v>
      </c>
      <c r="C51" t="s">
        <v>169</v>
      </c>
      <c r="D51" t="s">
        <v>34</v>
      </c>
      <c r="E51" t="s">
        <v>42</v>
      </c>
      <c r="F51" t="s">
        <v>43</v>
      </c>
      <c r="G51" t="s">
        <v>44</v>
      </c>
      <c r="H51">
        <v>4</v>
      </c>
      <c r="I51" s="5">
        <v>99</v>
      </c>
      <c r="J51" t="s">
        <v>38</v>
      </c>
      <c r="K51" s="5">
        <v>396</v>
      </c>
    </row>
    <row r="52" spans="1:11" x14ac:dyDescent="0.2">
      <c r="A52" t="s">
        <v>170</v>
      </c>
      <c r="B52" s="4">
        <v>46039</v>
      </c>
      <c r="C52" t="s">
        <v>171</v>
      </c>
      <c r="D52" t="s">
        <v>58</v>
      </c>
      <c r="E52" t="s">
        <v>35</v>
      </c>
      <c r="F52" t="s">
        <v>71</v>
      </c>
      <c r="G52" t="s">
        <v>137</v>
      </c>
      <c r="H52">
        <v>3</v>
      </c>
      <c r="I52" s="5">
        <v>115.5</v>
      </c>
      <c r="J52" t="s">
        <v>65</v>
      </c>
      <c r="K52" s="5">
        <v>346.5</v>
      </c>
    </row>
    <row r="53" spans="1:11" x14ac:dyDescent="0.2">
      <c r="A53" t="s">
        <v>172</v>
      </c>
      <c r="B53" s="4">
        <v>46039</v>
      </c>
      <c r="C53" t="s">
        <v>50</v>
      </c>
      <c r="D53" t="s">
        <v>47</v>
      </c>
      <c r="E53" t="s">
        <v>91</v>
      </c>
      <c r="F53" t="s">
        <v>43</v>
      </c>
      <c r="G53" t="s">
        <v>142</v>
      </c>
      <c r="H53">
        <v>3</v>
      </c>
      <c r="I53" s="5">
        <v>32</v>
      </c>
      <c r="J53" t="s">
        <v>38</v>
      </c>
      <c r="K53" s="5">
        <v>96</v>
      </c>
    </row>
    <row r="54" spans="1:11" x14ac:dyDescent="0.2">
      <c r="A54" t="s">
        <v>173</v>
      </c>
      <c r="B54" s="4">
        <v>46040</v>
      </c>
      <c r="C54" t="s">
        <v>174</v>
      </c>
      <c r="D54" t="s">
        <v>34</v>
      </c>
      <c r="E54" t="s">
        <v>91</v>
      </c>
      <c r="F54" t="s">
        <v>71</v>
      </c>
      <c r="G54" t="s">
        <v>92</v>
      </c>
      <c r="H54">
        <v>5</v>
      </c>
      <c r="I54" s="5">
        <v>65</v>
      </c>
      <c r="J54" t="s">
        <v>65</v>
      </c>
      <c r="K54" s="5">
        <v>325</v>
      </c>
    </row>
    <row r="55" spans="1:11" x14ac:dyDescent="0.2">
      <c r="A55" t="s">
        <v>175</v>
      </c>
      <c r="B55" s="4">
        <v>46040</v>
      </c>
      <c r="C55" t="s">
        <v>176</v>
      </c>
      <c r="D55" t="s">
        <v>114</v>
      </c>
      <c r="E55" t="s">
        <v>35</v>
      </c>
      <c r="F55" t="s">
        <v>36</v>
      </c>
      <c r="G55" t="s">
        <v>85</v>
      </c>
      <c r="H55">
        <v>1</v>
      </c>
      <c r="I55" s="5">
        <v>93.45</v>
      </c>
      <c r="J55" t="s">
        <v>38</v>
      </c>
      <c r="K55" s="5">
        <v>93.45</v>
      </c>
    </row>
    <row r="56" spans="1:11" x14ac:dyDescent="0.2">
      <c r="A56" t="s">
        <v>177</v>
      </c>
      <c r="B56" s="4">
        <v>46041</v>
      </c>
      <c r="C56" t="s">
        <v>178</v>
      </c>
      <c r="D56" t="s">
        <v>34</v>
      </c>
      <c r="E56" t="s">
        <v>42</v>
      </c>
      <c r="F56" t="s">
        <v>71</v>
      </c>
      <c r="G56" t="s">
        <v>95</v>
      </c>
      <c r="H56">
        <v>2</v>
      </c>
      <c r="I56" s="5">
        <v>20</v>
      </c>
      <c r="J56" t="s">
        <v>61</v>
      </c>
      <c r="K56" s="5">
        <v>40</v>
      </c>
    </row>
    <row r="57" spans="1:11" x14ac:dyDescent="0.2">
      <c r="A57" t="s">
        <v>179</v>
      </c>
      <c r="B57" s="4">
        <v>46041</v>
      </c>
      <c r="C57" t="s">
        <v>180</v>
      </c>
      <c r="D57" t="s">
        <v>58</v>
      </c>
      <c r="E57" t="s">
        <v>91</v>
      </c>
      <c r="F57" t="s">
        <v>71</v>
      </c>
      <c r="G57" t="s">
        <v>92</v>
      </c>
      <c r="H57">
        <v>1</v>
      </c>
      <c r="I57" s="5">
        <v>65</v>
      </c>
      <c r="J57" t="s">
        <v>61</v>
      </c>
      <c r="K57" s="5">
        <v>65</v>
      </c>
    </row>
    <row r="58" spans="1:11" x14ac:dyDescent="0.2">
      <c r="A58" t="s">
        <v>181</v>
      </c>
      <c r="B58" s="4">
        <v>46041</v>
      </c>
      <c r="C58" t="s">
        <v>182</v>
      </c>
      <c r="D58" t="s">
        <v>34</v>
      </c>
      <c r="E58" t="s">
        <v>91</v>
      </c>
      <c r="F58" t="s">
        <v>43</v>
      </c>
      <c r="G58" t="s">
        <v>77</v>
      </c>
      <c r="H58">
        <v>1</v>
      </c>
      <c r="I58" s="5">
        <v>45</v>
      </c>
      <c r="J58" t="s">
        <v>61</v>
      </c>
      <c r="K58" s="5">
        <v>45</v>
      </c>
    </row>
    <row r="59" spans="1:11" x14ac:dyDescent="0.2">
      <c r="A59" t="s">
        <v>183</v>
      </c>
      <c r="B59" s="4">
        <v>46042</v>
      </c>
      <c r="C59" t="s">
        <v>184</v>
      </c>
      <c r="D59" t="s">
        <v>47</v>
      </c>
      <c r="E59" t="s">
        <v>42</v>
      </c>
      <c r="F59" t="s">
        <v>36</v>
      </c>
      <c r="G59" t="s">
        <v>68</v>
      </c>
      <c r="H59">
        <v>2</v>
      </c>
      <c r="I59" s="5">
        <v>82.95</v>
      </c>
      <c r="J59" t="s">
        <v>38</v>
      </c>
      <c r="K59" s="5">
        <v>165.9</v>
      </c>
    </row>
    <row r="60" spans="1:11" x14ac:dyDescent="0.2">
      <c r="A60" t="s">
        <v>185</v>
      </c>
      <c r="B60" s="4">
        <v>46042</v>
      </c>
      <c r="C60" t="s">
        <v>171</v>
      </c>
      <c r="D60" t="s">
        <v>58</v>
      </c>
      <c r="E60" t="s">
        <v>91</v>
      </c>
      <c r="F60" t="s">
        <v>43</v>
      </c>
      <c r="G60" t="s">
        <v>44</v>
      </c>
      <c r="H60">
        <v>4</v>
      </c>
      <c r="I60" s="5">
        <v>89.1</v>
      </c>
      <c r="J60" t="s">
        <v>38</v>
      </c>
      <c r="K60" s="5">
        <v>356.4</v>
      </c>
    </row>
    <row r="61" spans="1:11" x14ac:dyDescent="0.2">
      <c r="A61" t="s">
        <v>186</v>
      </c>
      <c r="B61" s="4">
        <v>46042</v>
      </c>
      <c r="C61" t="s">
        <v>187</v>
      </c>
      <c r="D61" t="s">
        <v>114</v>
      </c>
      <c r="E61" t="s">
        <v>91</v>
      </c>
      <c r="F61" t="s">
        <v>36</v>
      </c>
      <c r="G61" t="s">
        <v>152</v>
      </c>
      <c r="H61">
        <v>1</v>
      </c>
      <c r="I61" s="5">
        <v>61.95</v>
      </c>
      <c r="J61" t="s">
        <v>65</v>
      </c>
      <c r="K61" s="5">
        <v>61.95</v>
      </c>
    </row>
    <row r="62" spans="1:11" x14ac:dyDescent="0.2">
      <c r="A62" t="s">
        <v>188</v>
      </c>
      <c r="B62" s="4">
        <v>46042</v>
      </c>
      <c r="C62" t="s">
        <v>189</v>
      </c>
      <c r="D62" t="s">
        <v>47</v>
      </c>
      <c r="E62" t="s">
        <v>91</v>
      </c>
      <c r="F62" t="s">
        <v>51</v>
      </c>
      <c r="G62" t="s">
        <v>155</v>
      </c>
      <c r="H62">
        <v>1</v>
      </c>
      <c r="I62" s="5">
        <v>60</v>
      </c>
      <c r="J62" t="s">
        <v>61</v>
      </c>
      <c r="K62" s="5">
        <v>60</v>
      </c>
    </row>
    <row r="63" spans="1:11" x14ac:dyDescent="0.2">
      <c r="A63" t="s">
        <v>190</v>
      </c>
      <c r="B63" s="4">
        <v>46042</v>
      </c>
      <c r="C63" t="s">
        <v>191</v>
      </c>
      <c r="D63" t="s">
        <v>41</v>
      </c>
      <c r="E63" t="s">
        <v>35</v>
      </c>
      <c r="F63" t="s">
        <v>43</v>
      </c>
      <c r="G63" t="s">
        <v>48</v>
      </c>
      <c r="H63">
        <v>3</v>
      </c>
      <c r="I63" s="5">
        <v>187.95</v>
      </c>
      <c r="J63" t="s">
        <v>61</v>
      </c>
      <c r="K63" s="5">
        <v>563.85</v>
      </c>
    </row>
    <row r="64" spans="1:11" x14ac:dyDescent="0.2">
      <c r="A64" t="s">
        <v>192</v>
      </c>
      <c r="B64" s="4">
        <v>46043</v>
      </c>
      <c r="C64" t="s">
        <v>129</v>
      </c>
      <c r="D64" t="s">
        <v>47</v>
      </c>
      <c r="E64" t="s">
        <v>42</v>
      </c>
      <c r="F64" t="s">
        <v>71</v>
      </c>
      <c r="G64" t="s">
        <v>92</v>
      </c>
      <c r="H64">
        <v>2</v>
      </c>
      <c r="I64" s="5">
        <v>65</v>
      </c>
      <c r="J64" t="s">
        <v>38</v>
      </c>
      <c r="K64" s="5">
        <v>130</v>
      </c>
    </row>
    <row r="65" spans="1:11" x14ac:dyDescent="0.2">
      <c r="A65" t="s">
        <v>193</v>
      </c>
      <c r="B65" s="4">
        <v>46043</v>
      </c>
      <c r="C65" t="s">
        <v>194</v>
      </c>
      <c r="D65" t="s">
        <v>34</v>
      </c>
      <c r="E65" t="s">
        <v>91</v>
      </c>
      <c r="F65" t="s">
        <v>36</v>
      </c>
      <c r="G65" t="s">
        <v>85</v>
      </c>
      <c r="H65">
        <v>3</v>
      </c>
      <c r="I65" s="5">
        <v>93.45</v>
      </c>
      <c r="J65" t="s">
        <v>38</v>
      </c>
      <c r="K65" s="5">
        <v>280.35000000000002</v>
      </c>
    </row>
    <row r="66" spans="1:11" x14ac:dyDescent="0.2">
      <c r="A66" t="s">
        <v>195</v>
      </c>
      <c r="B66" s="4">
        <v>46043</v>
      </c>
      <c r="C66" t="s">
        <v>196</v>
      </c>
      <c r="D66" t="s">
        <v>114</v>
      </c>
      <c r="E66" t="s">
        <v>35</v>
      </c>
      <c r="F66" t="s">
        <v>43</v>
      </c>
      <c r="G66" t="s">
        <v>83</v>
      </c>
      <c r="H66">
        <v>1</v>
      </c>
      <c r="I66" s="5">
        <v>39</v>
      </c>
      <c r="J66" t="s">
        <v>38</v>
      </c>
      <c r="K66" s="5">
        <v>39</v>
      </c>
    </row>
    <row r="67" spans="1:11" x14ac:dyDescent="0.2">
      <c r="A67" t="s">
        <v>197</v>
      </c>
      <c r="B67" s="4">
        <v>46043</v>
      </c>
      <c r="C67" t="s">
        <v>198</v>
      </c>
      <c r="D67" t="s">
        <v>47</v>
      </c>
      <c r="E67" t="s">
        <v>35</v>
      </c>
      <c r="F67" t="s">
        <v>59</v>
      </c>
      <c r="G67" t="s">
        <v>111</v>
      </c>
      <c r="H67">
        <v>1</v>
      </c>
      <c r="I67" s="5">
        <v>75</v>
      </c>
      <c r="J67" t="s">
        <v>38</v>
      </c>
      <c r="K67" s="5">
        <v>75</v>
      </c>
    </row>
    <row r="68" spans="1:11" x14ac:dyDescent="0.2">
      <c r="A68" t="s">
        <v>199</v>
      </c>
      <c r="B68" s="4">
        <v>46043</v>
      </c>
      <c r="C68" t="s">
        <v>200</v>
      </c>
      <c r="D68" t="s">
        <v>47</v>
      </c>
      <c r="E68" t="s">
        <v>91</v>
      </c>
      <c r="F68" t="s">
        <v>51</v>
      </c>
      <c r="G68" t="s">
        <v>52</v>
      </c>
      <c r="H68">
        <v>3</v>
      </c>
      <c r="I68" s="5">
        <v>40.5</v>
      </c>
      <c r="J68" t="s">
        <v>65</v>
      </c>
      <c r="K68" s="5">
        <v>121.5</v>
      </c>
    </row>
    <row r="69" spans="1:11" x14ac:dyDescent="0.2">
      <c r="A69" t="s">
        <v>201</v>
      </c>
      <c r="B69" s="4">
        <v>46044</v>
      </c>
      <c r="C69" t="s">
        <v>202</v>
      </c>
      <c r="D69" t="s">
        <v>114</v>
      </c>
      <c r="E69" t="s">
        <v>35</v>
      </c>
      <c r="F69" t="s">
        <v>36</v>
      </c>
      <c r="G69" t="s">
        <v>68</v>
      </c>
      <c r="H69">
        <v>2</v>
      </c>
      <c r="I69" s="5">
        <v>79</v>
      </c>
      <c r="J69" t="s">
        <v>38</v>
      </c>
      <c r="K69" s="5">
        <v>158</v>
      </c>
    </row>
    <row r="70" spans="1:11" x14ac:dyDescent="0.2">
      <c r="A70" t="s">
        <v>203</v>
      </c>
      <c r="B70" s="4">
        <v>46044</v>
      </c>
      <c r="C70" t="s">
        <v>176</v>
      </c>
      <c r="D70" t="s">
        <v>41</v>
      </c>
      <c r="E70" t="s">
        <v>42</v>
      </c>
      <c r="F70" t="s">
        <v>51</v>
      </c>
      <c r="G70" t="s">
        <v>155</v>
      </c>
      <c r="H70">
        <v>1</v>
      </c>
      <c r="I70" s="5">
        <v>63</v>
      </c>
      <c r="J70" t="s">
        <v>61</v>
      </c>
      <c r="K70" s="5">
        <v>63</v>
      </c>
    </row>
    <row r="71" spans="1:11" x14ac:dyDescent="0.2">
      <c r="A71" t="s">
        <v>204</v>
      </c>
      <c r="B71" s="4">
        <v>46044</v>
      </c>
      <c r="C71" t="s">
        <v>90</v>
      </c>
      <c r="D71" t="s">
        <v>47</v>
      </c>
      <c r="E71" t="s">
        <v>42</v>
      </c>
      <c r="F71" t="s">
        <v>36</v>
      </c>
      <c r="G71" t="s">
        <v>37</v>
      </c>
      <c r="H71">
        <v>4</v>
      </c>
      <c r="I71" s="5">
        <v>36.75</v>
      </c>
      <c r="J71" t="s">
        <v>38</v>
      </c>
      <c r="K71" s="5">
        <v>147</v>
      </c>
    </row>
    <row r="72" spans="1:11" x14ac:dyDescent="0.2">
      <c r="A72" t="s">
        <v>205</v>
      </c>
      <c r="B72" s="4">
        <v>46044</v>
      </c>
      <c r="C72" t="s">
        <v>33</v>
      </c>
      <c r="D72" t="s">
        <v>114</v>
      </c>
      <c r="E72" t="s">
        <v>42</v>
      </c>
      <c r="F72" t="s">
        <v>36</v>
      </c>
      <c r="G72" t="s">
        <v>68</v>
      </c>
      <c r="H72">
        <v>1</v>
      </c>
      <c r="I72" s="5">
        <v>79</v>
      </c>
      <c r="J72" t="s">
        <v>38</v>
      </c>
      <c r="K72" s="5">
        <v>79</v>
      </c>
    </row>
    <row r="73" spans="1:11" x14ac:dyDescent="0.2">
      <c r="A73" t="s">
        <v>206</v>
      </c>
      <c r="B73" s="4">
        <v>46046</v>
      </c>
      <c r="C73" t="s">
        <v>187</v>
      </c>
      <c r="D73" t="s">
        <v>41</v>
      </c>
      <c r="E73" t="s">
        <v>35</v>
      </c>
      <c r="F73" t="s">
        <v>59</v>
      </c>
      <c r="G73" t="s">
        <v>80</v>
      </c>
      <c r="H73">
        <v>1</v>
      </c>
      <c r="I73" s="5">
        <v>35</v>
      </c>
      <c r="J73" t="s">
        <v>61</v>
      </c>
      <c r="K73" s="5">
        <v>35</v>
      </c>
    </row>
    <row r="74" spans="1:11" x14ac:dyDescent="0.2">
      <c r="A74" t="s">
        <v>207</v>
      </c>
      <c r="B74" s="4">
        <v>46046</v>
      </c>
      <c r="C74" t="s">
        <v>54</v>
      </c>
      <c r="D74" t="s">
        <v>47</v>
      </c>
      <c r="E74" t="s">
        <v>35</v>
      </c>
      <c r="F74" t="s">
        <v>36</v>
      </c>
      <c r="G74" t="s">
        <v>122</v>
      </c>
      <c r="H74">
        <v>2</v>
      </c>
      <c r="I74" s="5">
        <v>25</v>
      </c>
      <c r="J74" t="s">
        <v>38</v>
      </c>
      <c r="K74" s="5">
        <v>50</v>
      </c>
    </row>
    <row r="75" spans="1:11" x14ac:dyDescent="0.2">
      <c r="A75" t="s">
        <v>208</v>
      </c>
      <c r="B75" s="4">
        <v>46047</v>
      </c>
      <c r="C75" t="s">
        <v>209</v>
      </c>
      <c r="D75" t="s">
        <v>114</v>
      </c>
      <c r="E75" t="s">
        <v>35</v>
      </c>
      <c r="F75" t="s">
        <v>59</v>
      </c>
      <c r="G75" t="s">
        <v>111</v>
      </c>
      <c r="H75">
        <v>1</v>
      </c>
      <c r="I75" s="5">
        <v>75</v>
      </c>
      <c r="J75" t="s">
        <v>61</v>
      </c>
      <c r="K75" s="5">
        <v>75</v>
      </c>
    </row>
    <row r="76" spans="1:11" x14ac:dyDescent="0.2">
      <c r="A76" t="s">
        <v>210</v>
      </c>
      <c r="B76" s="4">
        <v>46047</v>
      </c>
      <c r="C76" t="s">
        <v>211</v>
      </c>
      <c r="D76" t="s">
        <v>114</v>
      </c>
      <c r="E76" t="s">
        <v>91</v>
      </c>
      <c r="F76" t="s">
        <v>36</v>
      </c>
      <c r="G76" t="s">
        <v>37</v>
      </c>
      <c r="H76">
        <v>2</v>
      </c>
      <c r="I76" s="5">
        <v>35</v>
      </c>
      <c r="J76" t="s">
        <v>38</v>
      </c>
      <c r="K76" s="5">
        <v>70</v>
      </c>
    </row>
    <row r="77" spans="1:11" x14ac:dyDescent="0.2">
      <c r="A77" t="s">
        <v>212</v>
      </c>
      <c r="B77" s="4">
        <v>46047</v>
      </c>
      <c r="C77" t="s">
        <v>154</v>
      </c>
      <c r="D77" t="s">
        <v>114</v>
      </c>
      <c r="E77" t="s">
        <v>91</v>
      </c>
      <c r="F77" t="s">
        <v>43</v>
      </c>
      <c r="G77" t="s">
        <v>44</v>
      </c>
      <c r="H77">
        <v>5</v>
      </c>
      <c r="I77" s="5">
        <v>89.1</v>
      </c>
      <c r="J77" t="s">
        <v>61</v>
      </c>
      <c r="K77" s="5">
        <v>445.5</v>
      </c>
    </row>
    <row r="78" spans="1:11" x14ac:dyDescent="0.2">
      <c r="A78" t="s">
        <v>213</v>
      </c>
      <c r="B78" s="4">
        <v>46047</v>
      </c>
      <c r="C78" t="s">
        <v>214</v>
      </c>
      <c r="D78" t="s">
        <v>114</v>
      </c>
      <c r="E78" t="s">
        <v>35</v>
      </c>
      <c r="F78" t="s">
        <v>43</v>
      </c>
      <c r="G78" t="s">
        <v>142</v>
      </c>
      <c r="H78">
        <v>2</v>
      </c>
      <c r="I78" s="5">
        <v>32</v>
      </c>
      <c r="J78" t="s">
        <v>38</v>
      </c>
      <c r="K78" s="5">
        <v>64</v>
      </c>
    </row>
    <row r="79" spans="1:11" x14ac:dyDescent="0.2">
      <c r="A79" t="s">
        <v>215</v>
      </c>
      <c r="B79" s="4">
        <v>46048</v>
      </c>
      <c r="C79" t="s">
        <v>216</v>
      </c>
      <c r="D79" t="s">
        <v>41</v>
      </c>
      <c r="E79" t="s">
        <v>35</v>
      </c>
      <c r="F79" t="s">
        <v>36</v>
      </c>
      <c r="G79" t="s">
        <v>37</v>
      </c>
      <c r="H79">
        <v>2</v>
      </c>
      <c r="I79" s="5">
        <v>35</v>
      </c>
      <c r="J79" t="s">
        <v>38</v>
      </c>
      <c r="K79" s="5">
        <v>70</v>
      </c>
    </row>
    <row r="80" spans="1:11" x14ac:dyDescent="0.2">
      <c r="A80" t="s">
        <v>217</v>
      </c>
      <c r="B80" s="4">
        <v>46048</v>
      </c>
      <c r="C80" t="s">
        <v>163</v>
      </c>
      <c r="D80" t="s">
        <v>47</v>
      </c>
      <c r="E80" t="s">
        <v>35</v>
      </c>
      <c r="F80" t="s">
        <v>51</v>
      </c>
      <c r="G80" t="s">
        <v>155</v>
      </c>
      <c r="H80">
        <v>1</v>
      </c>
      <c r="I80" s="5">
        <v>60</v>
      </c>
      <c r="J80" t="s">
        <v>65</v>
      </c>
      <c r="K80" s="5">
        <v>60</v>
      </c>
    </row>
    <row r="81" spans="1:11" x14ac:dyDescent="0.2">
      <c r="A81" t="s">
        <v>218</v>
      </c>
      <c r="B81" s="4">
        <v>46049</v>
      </c>
      <c r="C81" t="s">
        <v>163</v>
      </c>
      <c r="D81" t="s">
        <v>34</v>
      </c>
      <c r="E81" t="s">
        <v>91</v>
      </c>
      <c r="F81" t="s">
        <v>59</v>
      </c>
      <c r="G81" t="s">
        <v>106</v>
      </c>
      <c r="H81">
        <v>3</v>
      </c>
      <c r="I81" s="5">
        <v>29.4</v>
      </c>
      <c r="J81" t="s">
        <v>61</v>
      </c>
      <c r="K81" s="5">
        <v>88.2</v>
      </c>
    </row>
    <row r="82" spans="1:11" x14ac:dyDescent="0.2">
      <c r="A82" t="s">
        <v>219</v>
      </c>
      <c r="B82" s="4">
        <v>46049</v>
      </c>
      <c r="C82" t="s">
        <v>118</v>
      </c>
      <c r="D82" t="s">
        <v>41</v>
      </c>
      <c r="E82" t="s">
        <v>35</v>
      </c>
      <c r="F82" t="s">
        <v>59</v>
      </c>
      <c r="G82" t="s">
        <v>111</v>
      </c>
      <c r="H82">
        <v>2</v>
      </c>
      <c r="I82" s="5">
        <v>75</v>
      </c>
      <c r="J82" t="s">
        <v>65</v>
      </c>
      <c r="K82" s="5">
        <v>150</v>
      </c>
    </row>
    <row r="83" spans="1:11" x14ac:dyDescent="0.2">
      <c r="A83" t="s">
        <v>220</v>
      </c>
      <c r="B83" s="4">
        <v>46049</v>
      </c>
      <c r="C83" t="s">
        <v>221</v>
      </c>
      <c r="D83" t="s">
        <v>58</v>
      </c>
      <c r="E83" t="s">
        <v>35</v>
      </c>
      <c r="F83" t="s">
        <v>43</v>
      </c>
      <c r="G83" t="s">
        <v>142</v>
      </c>
      <c r="H83">
        <v>5</v>
      </c>
      <c r="I83" s="5">
        <v>32</v>
      </c>
      <c r="J83" t="s">
        <v>61</v>
      </c>
      <c r="K83" s="5">
        <v>160</v>
      </c>
    </row>
    <row r="84" spans="1:11" x14ac:dyDescent="0.2">
      <c r="A84" t="s">
        <v>222</v>
      </c>
      <c r="B84" s="4">
        <v>46049</v>
      </c>
      <c r="C84" t="s">
        <v>223</v>
      </c>
      <c r="D84" t="s">
        <v>58</v>
      </c>
      <c r="E84" t="s">
        <v>35</v>
      </c>
      <c r="F84" t="s">
        <v>36</v>
      </c>
      <c r="G84" t="s">
        <v>122</v>
      </c>
      <c r="H84">
        <v>1</v>
      </c>
      <c r="I84" s="5">
        <v>26.25</v>
      </c>
      <c r="J84" t="s">
        <v>65</v>
      </c>
      <c r="K84" s="5">
        <v>26.25</v>
      </c>
    </row>
    <row r="85" spans="1:11" x14ac:dyDescent="0.2">
      <c r="A85" t="s">
        <v>224</v>
      </c>
      <c r="B85" s="4">
        <v>46049</v>
      </c>
      <c r="C85" t="s">
        <v>225</v>
      </c>
      <c r="D85" t="s">
        <v>47</v>
      </c>
      <c r="E85" t="s">
        <v>226</v>
      </c>
      <c r="F85" t="s">
        <v>71</v>
      </c>
      <c r="G85" t="s">
        <v>137</v>
      </c>
      <c r="H85">
        <v>1</v>
      </c>
      <c r="I85" s="5">
        <v>110</v>
      </c>
      <c r="J85" t="s">
        <v>38</v>
      </c>
      <c r="K85" s="5">
        <v>110</v>
      </c>
    </row>
    <row r="86" spans="1:11" x14ac:dyDescent="0.2">
      <c r="A86" t="s">
        <v>227</v>
      </c>
      <c r="B86" s="4">
        <v>46050</v>
      </c>
      <c r="C86" t="s">
        <v>228</v>
      </c>
      <c r="D86" t="s">
        <v>41</v>
      </c>
      <c r="E86" t="s">
        <v>35</v>
      </c>
      <c r="F86" t="s">
        <v>59</v>
      </c>
      <c r="G86" t="s">
        <v>111</v>
      </c>
      <c r="H86">
        <v>1</v>
      </c>
      <c r="I86" s="5">
        <v>78.75</v>
      </c>
      <c r="J86" t="s">
        <v>38</v>
      </c>
      <c r="K86" s="5">
        <v>78.75</v>
      </c>
    </row>
    <row r="87" spans="1:11" x14ac:dyDescent="0.2">
      <c r="A87" t="s">
        <v>229</v>
      </c>
      <c r="B87" s="4">
        <v>46050</v>
      </c>
      <c r="C87" t="s">
        <v>230</v>
      </c>
      <c r="D87" t="s">
        <v>34</v>
      </c>
      <c r="E87" t="s">
        <v>35</v>
      </c>
      <c r="F87" t="s">
        <v>36</v>
      </c>
      <c r="G87" t="s">
        <v>68</v>
      </c>
      <c r="H87">
        <v>1</v>
      </c>
      <c r="I87" s="5">
        <v>71.099999999999994</v>
      </c>
      <c r="J87" t="s">
        <v>61</v>
      </c>
      <c r="K87" s="5">
        <v>71.099999999999994</v>
      </c>
    </row>
    <row r="88" spans="1:11" x14ac:dyDescent="0.2">
      <c r="A88" t="s">
        <v>231</v>
      </c>
      <c r="B88" s="4">
        <v>46050</v>
      </c>
      <c r="C88" t="s">
        <v>232</v>
      </c>
      <c r="D88" t="s">
        <v>47</v>
      </c>
      <c r="E88" t="s">
        <v>35</v>
      </c>
      <c r="F88" t="s">
        <v>36</v>
      </c>
      <c r="G88" t="s">
        <v>85</v>
      </c>
      <c r="H88">
        <v>2</v>
      </c>
      <c r="I88" s="5">
        <v>89</v>
      </c>
      <c r="J88" t="s">
        <v>65</v>
      </c>
      <c r="K88" s="5">
        <v>178</v>
      </c>
    </row>
    <row r="89" spans="1:11" x14ac:dyDescent="0.2">
      <c r="A89" t="s">
        <v>233</v>
      </c>
      <c r="B89" s="4">
        <v>46050</v>
      </c>
      <c r="C89" t="s">
        <v>234</v>
      </c>
      <c r="D89" t="s">
        <v>34</v>
      </c>
      <c r="E89" t="s">
        <v>91</v>
      </c>
      <c r="F89" t="s">
        <v>36</v>
      </c>
      <c r="G89" t="s">
        <v>122</v>
      </c>
      <c r="H89">
        <v>3</v>
      </c>
      <c r="I89" s="5">
        <v>26.25</v>
      </c>
      <c r="J89" t="s">
        <v>61</v>
      </c>
      <c r="K89" s="5">
        <v>78.75</v>
      </c>
    </row>
    <row r="90" spans="1:11" x14ac:dyDescent="0.2">
      <c r="A90" t="s">
        <v>235</v>
      </c>
      <c r="B90" s="4">
        <v>46050</v>
      </c>
      <c r="C90" t="s">
        <v>236</v>
      </c>
      <c r="D90" t="s">
        <v>41</v>
      </c>
      <c r="E90" t="s">
        <v>42</v>
      </c>
      <c r="F90" t="s">
        <v>43</v>
      </c>
      <c r="G90" t="s">
        <v>48</v>
      </c>
      <c r="H90">
        <v>1</v>
      </c>
      <c r="I90" s="5">
        <v>179</v>
      </c>
      <c r="J90" t="s">
        <v>38</v>
      </c>
      <c r="K90" s="5">
        <v>179</v>
      </c>
    </row>
    <row r="91" spans="1:11" x14ac:dyDescent="0.2">
      <c r="A91" t="s">
        <v>237</v>
      </c>
      <c r="B91" s="4">
        <v>46050</v>
      </c>
      <c r="C91" t="s">
        <v>238</v>
      </c>
      <c r="D91" t="s">
        <v>58</v>
      </c>
      <c r="E91" t="s">
        <v>91</v>
      </c>
      <c r="F91" t="s">
        <v>71</v>
      </c>
      <c r="G91" t="s">
        <v>72</v>
      </c>
      <c r="H91">
        <v>2</v>
      </c>
      <c r="I91" s="5">
        <v>57.75</v>
      </c>
      <c r="J91" t="s">
        <v>38</v>
      </c>
      <c r="K91" s="5">
        <v>115.5</v>
      </c>
    </row>
    <row r="92" spans="1:11" x14ac:dyDescent="0.2">
      <c r="A92" t="s">
        <v>239</v>
      </c>
      <c r="B92" s="4">
        <v>46050</v>
      </c>
      <c r="C92" t="s">
        <v>240</v>
      </c>
      <c r="D92" t="s">
        <v>47</v>
      </c>
      <c r="E92" t="s">
        <v>91</v>
      </c>
      <c r="F92" t="s">
        <v>36</v>
      </c>
      <c r="G92" t="s">
        <v>85</v>
      </c>
      <c r="H92">
        <v>1</v>
      </c>
      <c r="I92" s="5">
        <v>89</v>
      </c>
      <c r="J92" t="s">
        <v>38</v>
      </c>
      <c r="K92" s="5">
        <v>89</v>
      </c>
    </row>
    <row r="93" spans="1:11" x14ac:dyDescent="0.2">
      <c r="A93" t="s">
        <v>241</v>
      </c>
      <c r="B93" s="4">
        <v>46051</v>
      </c>
      <c r="C93" t="s">
        <v>144</v>
      </c>
      <c r="D93" t="s">
        <v>47</v>
      </c>
      <c r="E93" t="s">
        <v>91</v>
      </c>
      <c r="F93" t="s">
        <v>71</v>
      </c>
      <c r="G93" t="s">
        <v>92</v>
      </c>
      <c r="H93">
        <v>1</v>
      </c>
      <c r="I93" s="5">
        <v>68.25</v>
      </c>
      <c r="J93" t="s">
        <v>38</v>
      </c>
      <c r="K93" s="5">
        <v>68.25</v>
      </c>
    </row>
    <row r="94" spans="1:11" x14ac:dyDescent="0.2">
      <c r="A94" t="s">
        <v>242</v>
      </c>
      <c r="B94" s="4">
        <v>46051</v>
      </c>
      <c r="C94" t="s">
        <v>243</v>
      </c>
      <c r="D94" t="s">
        <v>47</v>
      </c>
      <c r="E94" t="s">
        <v>35</v>
      </c>
      <c r="F94" t="s">
        <v>59</v>
      </c>
      <c r="G94" t="s">
        <v>64</v>
      </c>
      <c r="H94">
        <v>2</v>
      </c>
      <c r="I94" s="5">
        <v>18</v>
      </c>
      <c r="J94" t="s">
        <v>38</v>
      </c>
      <c r="K94" s="5">
        <v>36</v>
      </c>
    </row>
    <row r="95" spans="1:11" x14ac:dyDescent="0.2">
      <c r="A95" t="s">
        <v>244</v>
      </c>
      <c r="B95" s="4">
        <v>46051</v>
      </c>
      <c r="C95" t="s">
        <v>76</v>
      </c>
      <c r="D95" t="s">
        <v>34</v>
      </c>
      <c r="E95" t="s">
        <v>42</v>
      </c>
      <c r="F95" t="s">
        <v>71</v>
      </c>
      <c r="G95" t="s">
        <v>137</v>
      </c>
      <c r="H95">
        <v>3</v>
      </c>
      <c r="I95" s="5">
        <v>110</v>
      </c>
      <c r="J95" t="s">
        <v>38</v>
      </c>
      <c r="K95" s="5">
        <v>330</v>
      </c>
    </row>
    <row r="96" spans="1:11" x14ac:dyDescent="0.2">
      <c r="A96" t="s">
        <v>245</v>
      </c>
      <c r="B96" s="4">
        <v>46051</v>
      </c>
      <c r="C96" t="s">
        <v>246</v>
      </c>
      <c r="D96" t="s">
        <v>34</v>
      </c>
      <c r="E96" t="s">
        <v>35</v>
      </c>
      <c r="F96" t="s">
        <v>43</v>
      </c>
      <c r="G96" t="s">
        <v>77</v>
      </c>
      <c r="H96">
        <v>1</v>
      </c>
      <c r="I96" s="5">
        <v>45</v>
      </c>
      <c r="J96" t="s">
        <v>38</v>
      </c>
      <c r="K96" s="5">
        <v>45</v>
      </c>
    </row>
    <row r="97" spans="1:11" x14ac:dyDescent="0.2">
      <c r="A97" t="s">
        <v>247</v>
      </c>
      <c r="B97" s="4">
        <v>46052</v>
      </c>
      <c r="C97" t="s">
        <v>248</v>
      </c>
      <c r="D97" t="s">
        <v>58</v>
      </c>
      <c r="E97" t="s">
        <v>35</v>
      </c>
      <c r="F97" t="s">
        <v>59</v>
      </c>
      <c r="G97" t="s">
        <v>60</v>
      </c>
      <c r="H97">
        <v>3</v>
      </c>
      <c r="I97" s="5">
        <v>120</v>
      </c>
      <c r="J97" t="s">
        <v>61</v>
      </c>
      <c r="K97" s="5">
        <v>360</v>
      </c>
    </row>
    <row r="98" spans="1:11" x14ac:dyDescent="0.2">
      <c r="A98" t="s">
        <v>249</v>
      </c>
      <c r="B98" s="4">
        <v>46052</v>
      </c>
      <c r="C98" t="s">
        <v>250</v>
      </c>
      <c r="D98" t="s">
        <v>47</v>
      </c>
      <c r="E98" t="s">
        <v>35</v>
      </c>
      <c r="F98" t="s">
        <v>59</v>
      </c>
      <c r="G98" t="s">
        <v>64</v>
      </c>
      <c r="H98">
        <v>5</v>
      </c>
      <c r="I98" s="5">
        <v>18</v>
      </c>
      <c r="J98" t="s">
        <v>38</v>
      </c>
      <c r="K98" s="5">
        <v>90</v>
      </c>
    </row>
    <row r="99" spans="1:11" x14ac:dyDescent="0.2">
      <c r="A99" t="s">
        <v>251</v>
      </c>
      <c r="B99" s="4">
        <v>46052</v>
      </c>
      <c r="C99" t="s">
        <v>252</v>
      </c>
      <c r="D99" t="s">
        <v>47</v>
      </c>
      <c r="E99" t="s">
        <v>42</v>
      </c>
      <c r="F99" t="s">
        <v>43</v>
      </c>
      <c r="G99" t="s">
        <v>83</v>
      </c>
      <c r="H99">
        <v>4</v>
      </c>
      <c r="I99" s="5">
        <v>39</v>
      </c>
      <c r="J99" t="s">
        <v>38</v>
      </c>
      <c r="K99" s="5">
        <v>156</v>
      </c>
    </row>
    <row r="100" spans="1:11" x14ac:dyDescent="0.2">
      <c r="A100" t="s">
        <v>253</v>
      </c>
      <c r="B100" s="4">
        <v>46053</v>
      </c>
      <c r="C100" t="s">
        <v>254</v>
      </c>
      <c r="D100" t="s">
        <v>114</v>
      </c>
      <c r="E100" t="s">
        <v>35</v>
      </c>
      <c r="F100" t="s">
        <v>51</v>
      </c>
      <c r="G100" t="s">
        <v>52</v>
      </c>
      <c r="H100">
        <v>3</v>
      </c>
      <c r="I100" s="5">
        <v>47.25</v>
      </c>
      <c r="J100" t="s">
        <v>38</v>
      </c>
      <c r="K100" s="5">
        <v>141.75</v>
      </c>
    </row>
    <row r="101" spans="1:11" x14ac:dyDescent="0.2">
      <c r="A101" t="s">
        <v>255</v>
      </c>
      <c r="B101" s="4">
        <v>46053</v>
      </c>
      <c r="C101" t="s">
        <v>256</v>
      </c>
      <c r="D101" t="s">
        <v>114</v>
      </c>
      <c r="E101" t="s">
        <v>35</v>
      </c>
      <c r="F101" t="s">
        <v>51</v>
      </c>
      <c r="G101" t="s">
        <v>55</v>
      </c>
      <c r="H101">
        <v>1</v>
      </c>
      <c r="I101" s="5">
        <v>19.8</v>
      </c>
      <c r="J101" t="s">
        <v>38</v>
      </c>
      <c r="K101" s="5">
        <v>19.8</v>
      </c>
    </row>
    <row r="102" spans="1:11" x14ac:dyDescent="0.2">
      <c r="A102" t="s">
        <v>257</v>
      </c>
      <c r="B102" s="4">
        <v>46053</v>
      </c>
      <c r="C102" t="s">
        <v>248</v>
      </c>
      <c r="D102" t="s">
        <v>41</v>
      </c>
      <c r="E102" t="s">
        <v>91</v>
      </c>
      <c r="F102" t="s">
        <v>71</v>
      </c>
      <c r="G102" t="s">
        <v>95</v>
      </c>
      <c r="H102">
        <v>2</v>
      </c>
      <c r="I102" s="5">
        <v>20</v>
      </c>
      <c r="J102" t="s">
        <v>38</v>
      </c>
      <c r="K102" s="5">
        <v>40</v>
      </c>
    </row>
    <row r="103" spans="1:11" x14ac:dyDescent="0.2">
      <c r="A103" t="s">
        <v>258</v>
      </c>
      <c r="B103" s="4">
        <v>46054</v>
      </c>
      <c r="C103" t="s">
        <v>259</v>
      </c>
      <c r="D103" t="s">
        <v>47</v>
      </c>
      <c r="E103" t="s">
        <v>91</v>
      </c>
      <c r="F103" t="s">
        <v>36</v>
      </c>
      <c r="G103" t="s">
        <v>152</v>
      </c>
      <c r="H103">
        <v>2</v>
      </c>
      <c r="I103" s="5">
        <v>59</v>
      </c>
      <c r="J103" t="s">
        <v>65</v>
      </c>
      <c r="K103" s="5">
        <v>118</v>
      </c>
    </row>
    <row r="104" spans="1:11" x14ac:dyDescent="0.2">
      <c r="A104" t="s">
        <v>260</v>
      </c>
      <c r="B104" s="4">
        <v>46054</v>
      </c>
      <c r="C104" t="s">
        <v>261</v>
      </c>
      <c r="D104" t="s">
        <v>58</v>
      </c>
      <c r="E104" t="s">
        <v>35</v>
      </c>
      <c r="F104" t="s">
        <v>43</v>
      </c>
      <c r="G104" t="s">
        <v>83</v>
      </c>
      <c r="H104">
        <v>3</v>
      </c>
      <c r="I104" s="5">
        <v>35.1</v>
      </c>
      <c r="J104" t="s">
        <v>38</v>
      </c>
      <c r="K104" s="5">
        <v>105.3</v>
      </c>
    </row>
    <row r="105" spans="1:11" x14ac:dyDescent="0.2">
      <c r="A105" t="s">
        <v>262</v>
      </c>
      <c r="B105" s="4">
        <v>46054</v>
      </c>
      <c r="C105" t="s">
        <v>263</v>
      </c>
      <c r="D105" t="s">
        <v>47</v>
      </c>
      <c r="E105" t="s">
        <v>35</v>
      </c>
      <c r="F105" t="s">
        <v>51</v>
      </c>
      <c r="G105" t="s">
        <v>99</v>
      </c>
      <c r="H105">
        <v>1</v>
      </c>
      <c r="I105" s="5">
        <v>16.2</v>
      </c>
      <c r="J105" t="s">
        <v>38</v>
      </c>
      <c r="K105" s="5">
        <v>16.2</v>
      </c>
    </row>
    <row r="106" spans="1:11" x14ac:dyDescent="0.2">
      <c r="A106" t="s">
        <v>264</v>
      </c>
      <c r="B106" s="4">
        <v>46054</v>
      </c>
      <c r="C106" t="s">
        <v>265</v>
      </c>
      <c r="D106" t="s">
        <v>47</v>
      </c>
      <c r="E106" t="s">
        <v>35</v>
      </c>
      <c r="F106" t="s">
        <v>36</v>
      </c>
      <c r="G106" t="s">
        <v>85</v>
      </c>
      <c r="H106">
        <v>3</v>
      </c>
      <c r="I106" s="5">
        <v>89</v>
      </c>
      <c r="J106" t="s">
        <v>38</v>
      </c>
      <c r="K106" s="5">
        <v>267</v>
      </c>
    </row>
    <row r="107" spans="1:11" x14ac:dyDescent="0.2">
      <c r="A107" t="s">
        <v>266</v>
      </c>
      <c r="B107" s="4">
        <v>46055</v>
      </c>
      <c r="C107" t="s">
        <v>267</v>
      </c>
      <c r="D107" t="s">
        <v>47</v>
      </c>
      <c r="E107" t="s">
        <v>35</v>
      </c>
      <c r="F107" t="s">
        <v>59</v>
      </c>
      <c r="G107" t="s">
        <v>64</v>
      </c>
      <c r="H107">
        <v>3</v>
      </c>
      <c r="I107" s="5">
        <v>18</v>
      </c>
      <c r="J107" t="s">
        <v>38</v>
      </c>
      <c r="K107" s="5">
        <v>54</v>
      </c>
    </row>
    <row r="108" spans="1:11" x14ac:dyDescent="0.2">
      <c r="A108" t="s">
        <v>268</v>
      </c>
      <c r="B108" s="4">
        <v>46055</v>
      </c>
      <c r="C108" t="s">
        <v>269</v>
      </c>
      <c r="D108" t="s">
        <v>114</v>
      </c>
      <c r="E108" t="s">
        <v>35</v>
      </c>
      <c r="F108" t="s">
        <v>71</v>
      </c>
      <c r="G108" t="s">
        <v>72</v>
      </c>
      <c r="H108">
        <v>3</v>
      </c>
      <c r="I108" s="5">
        <v>57.75</v>
      </c>
      <c r="J108" t="s">
        <v>65</v>
      </c>
      <c r="K108" s="5">
        <v>173.25</v>
      </c>
    </row>
    <row r="109" spans="1:11" x14ac:dyDescent="0.2">
      <c r="A109" t="s">
        <v>270</v>
      </c>
      <c r="B109" s="4">
        <v>46056</v>
      </c>
      <c r="C109" t="s">
        <v>271</v>
      </c>
      <c r="D109" t="s">
        <v>41</v>
      </c>
      <c r="E109" t="s">
        <v>35</v>
      </c>
      <c r="F109" t="s">
        <v>43</v>
      </c>
      <c r="G109" t="s">
        <v>44</v>
      </c>
      <c r="H109">
        <v>3</v>
      </c>
      <c r="I109" s="5">
        <v>89.1</v>
      </c>
      <c r="J109" t="s">
        <v>61</v>
      </c>
      <c r="K109" s="5">
        <v>267.3</v>
      </c>
    </row>
    <row r="110" spans="1:11" x14ac:dyDescent="0.2">
      <c r="A110" t="s">
        <v>272</v>
      </c>
      <c r="B110" s="4">
        <v>46056</v>
      </c>
      <c r="C110" t="s">
        <v>273</v>
      </c>
      <c r="D110" t="s">
        <v>34</v>
      </c>
      <c r="E110" t="s">
        <v>91</v>
      </c>
      <c r="F110" t="s">
        <v>36</v>
      </c>
      <c r="G110" t="s">
        <v>37</v>
      </c>
      <c r="H110">
        <v>2</v>
      </c>
      <c r="I110" s="5">
        <v>36.75</v>
      </c>
      <c r="J110" t="s">
        <v>38</v>
      </c>
      <c r="K110" s="5">
        <v>73.5</v>
      </c>
    </row>
    <row r="111" spans="1:11" x14ac:dyDescent="0.2">
      <c r="A111" t="s">
        <v>274</v>
      </c>
      <c r="B111" s="4">
        <v>46056</v>
      </c>
      <c r="C111" t="s">
        <v>275</v>
      </c>
      <c r="D111" t="s">
        <v>47</v>
      </c>
      <c r="E111" t="s">
        <v>35</v>
      </c>
      <c r="F111" t="s">
        <v>36</v>
      </c>
      <c r="G111" t="s">
        <v>152</v>
      </c>
      <c r="H111">
        <v>4</v>
      </c>
      <c r="I111" s="5">
        <v>59</v>
      </c>
      <c r="J111" t="s">
        <v>38</v>
      </c>
      <c r="K111" s="5">
        <v>236</v>
      </c>
    </row>
    <row r="112" spans="1:11" x14ac:dyDescent="0.2">
      <c r="A112" t="s">
        <v>276</v>
      </c>
      <c r="B112" s="4">
        <v>46057</v>
      </c>
      <c r="C112" t="s">
        <v>277</v>
      </c>
      <c r="D112" t="s">
        <v>58</v>
      </c>
      <c r="E112" t="s">
        <v>42</v>
      </c>
      <c r="F112" t="s">
        <v>43</v>
      </c>
      <c r="G112" t="s">
        <v>83</v>
      </c>
      <c r="H112">
        <v>3</v>
      </c>
      <c r="I112" s="5">
        <v>39</v>
      </c>
      <c r="J112" t="s">
        <v>38</v>
      </c>
      <c r="K112" s="5">
        <v>117</v>
      </c>
    </row>
    <row r="113" spans="1:11" x14ac:dyDescent="0.2">
      <c r="A113" t="s">
        <v>278</v>
      </c>
      <c r="B113" s="4">
        <v>46057</v>
      </c>
      <c r="C113" t="s">
        <v>279</v>
      </c>
      <c r="D113" t="s">
        <v>114</v>
      </c>
      <c r="E113" t="s">
        <v>35</v>
      </c>
      <c r="F113" t="s">
        <v>36</v>
      </c>
      <c r="G113" t="s">
        <v>68</v>
      </c>
      <c r="H113">
        <v>3</v>
      </c>
      <c r="I113" s="5">
        <v>71.099999999999994</v>
      </c>
      <c r="J113" t="s">
        <v>61</v>
      </c>
      <c r="K113" s="5">
        <v>213.3</v>
      </c>
    </row>
    <row r="114" spans="1:11" x14ac:dyDescent="0.2">
      <c r="A114" t="s">
        <v>280</v>
      </c>
      <c r="B114" s="4">
        <v>46057</v>
      </c>
      <c r="C114" t="s">
        <v>33</v>
      </c>
      <c r="D114" t="s">
        <v>58</v>
      </c>
      <c r="E114" t="s">
        <v>91</v>
      </c>
      <c r="F114" t="s">
        <v>51</v>
      </c>
      <c r="G114" t="s">
        <v>119</v>
      </c>
      <c r="H114">
        <v>1</v>
      </c>
      <c r="I114" s="5">
        <v>30</v>
      </c>
      <c r="J114" t="s">
        <v>38</v>
      </c>
      <c r="K114" s="5">
        <v>30</v>
      </c>
    </row>
    <row r="115" spans="1:11" x14ac:dyDescent="0.2">
      <c r="A115" t="s">
        <v>281</v>
      </c>
      <c r="B115" s="4">
        <v>46057</v>
      </c>
      <c r="C115" t="s">
        <v>105</v>
      </c>
      <c r="D115" t="s">
        <v>34</v>
      </c>
      <c r="E115" t="s">
        <v>91</v>
      </c>
      <c r="F115" t="s">
        <v>43</v>
      </c>
      <c r="G115" t="s">
        <v>83</v>
      </c>
      <c r="H115">
        <v>3</v>
      </c>
      <c r="I115" s="5">
        <v>39</v>
      </c>
      <c r="J115" t="s">
        <v>61</v>
      </c>
      <c r="K115" s="5">
        <v>117</v>
      </c>
    </row>
    <row r="116" spans="1:11" x14ac:dyDescent="0.2">
      <c r="A116" t="s">
        <v>282</v>
      </c>
      <c r="B116" s="4">
        <v>46057</v>
      </c>
      <c r="C116" t="s">
        <v>283</v>
      </c>
      <c r="D116" t="s">
        <v>114</v>
      </c>
      <c r="E116" t="s">
        <v>35</v>
      </c>
      <c r="F116" t="s">
        <v>59</v>
      </c>
      <c r="G116" t="s">
        <v>111</v>
      </c>
      <c r="H116">
        <v>1</v>
      </c>
      <c r="I116" s="5">
        <v>75</v>
      </c>
      <c r="J116" t="s">
        <v>38</v>
      </c>
      <c r="K116" s="5">
        <v>75</v>
      </c>
    </row>
    <row r="117" spans="1:11" x14ac:dyDescent="0.2">
      <c r="A117" t="s">
        <v>284</v>
      </c>
      <c r="B117" s="4">
        <v>46057</v>
      </c>
      <c r="C117" t="s">
        <v>285</v>
      </c>
      <c r="D117" t="s">
        <v>58</v>
      </c>
      <c r="E117" t="s">
        <v>42</v>
      </c>
      <c r="F117" t="s">
        <v>59</v>
      </c>
      <c r="G117" t="s">
        <v>60</v>
      </c>
      <c r="H117">
        <v>1</v>
      </c>
      <c r="I117" s="5">
        <v>108</v>
      </c>
      <c r="J117" t="s">
        <v>38</v>
      </c>
      <c r="K117" s="5">
        <v>108</v>
      </c>
    </row>
    <row r="118" spans="1:11" x14ac:dyDescent="0.2">
      <c r="A118" t="s">
        <v>286</v>
      </c>
      <c r="B118" s="4">
        <v>46057</v>
      </c>
      <c r="C118" t="s">
        <v>148</v>
      </c>
      <c r="D118" t="s">
        <v>58</v>
      </c>
      <c r="E118" t="s">
        <v>91</v>
      </c>
      <c r="F118" t="s">
        <v>59</v>
      </c>
      <c r="G118" t="s">
        <v>60</v>
      </c>
      <c r="H118">
        <v>1</v>
      </c>
      <c r="I118" s="5">
        <v>120</v>
      </c>
      <c r="J118" t="s">
        <v>38</v>
      </c>
      <c r="K118" s="5">
        <v>120</v>
      </c>
    </row>
    <row r="119" spans="1:11" x14ac:dyDescent="0.2">
      <c r="A119" t="s">
        <v>287</v>
      </c>
      <c r="B119" s="4">
        <v>46058</v>
      </c>
      <c r="C119" t="s">
        <v>271</v>
      </c>
      <c r="D119" t="s">
        <v>34</v>
      </c>
      <c r="E119" t="s">
        <v>35</v>
      </c>
      <c r="F119" t="s">
        <v>43</v>
      </c>
      <c r="G119" t="s">
        <v>142</v>
      </c>
      <c r="H119">
        <v>1</v>
      </c>
      <c r="I119" s="5">
        <v>33.6</v>
      </c>
      <c r="J119" t="s">
        <v>65</v>
      </c>
      <c r="K119" s="5">
        <v>33.6</v>
      </c>
    </row>
    <row r="120" spans="1:11" x14ac:dyDescent="0.2">
      <c r="A120" t="s">
        <v>288</v>
      </c>
      <c r="B120" s="4">
        <v>46058</v>
      </c>
      <c r="C120" t="s">
        <v>50</v>
      </c>
      <c r="D120" t="s">
        <v>47</v>
      </c>
      <c r="E120" t="s">
        <v>42</v>
      </c>
      <c r="F120" t="s">
        <v>59</v>
      </c>
      <c r="G120" t="s">
        <v>111</v>
      </c>
      <c r="H120">
        <v>4</v>
      </c>
      <c r="I120" s="5">
        <v>75</v>
      </c>
      <c r="J120" t="s">
        <v>38</v>
      </c>
      <c r="K120" s="5">
        <v>300</v>
      </c>
    </row>
    <row r="121" spans="1:11" x14ac:dyDescent="0.2">
      <c r="A121" t="s">
        <v>289</v>
      </c>
      <c r="B121" s="4">
        <v>46058</v>
      </c>
      <c r="C121" t="s">
        <v>290</v>
      </c>
      <c r="D121" t="s">
        <v>114</v>
      </c>
      <c r="E121" t="s">
        <v>91</v>
      </c>
      <c r="F121" t="s">
        <v>51</v>
      </c>
      <c r="G121" t="s">
        <v>119</v>
      </c>
      <c r="H121">
        <v>1</v>
      </c>
      <c r="I121" s="5">
        <v>31.5</v>
      </c>
      <c r="J121" t="s">
        <v>61</v>
      </c>
      <c r="K121" s="5">
        <v>31.5</v>
      </c>
    </row>
    <row r="122" spans="1:11" x14ac:dyDescent="0.2">
      <c r="A122" t="s">
        <v>291</v>
      </c>
      <c r="B122" s="4">
        <v>46058</v>
      </c>
      <c r="C122" t="s">
        <v>292</v>
      </c>
      <c r="D122" t="s">
        <v>47</v>
      </c>
      <c r="E122" t="s">
        <v>35</v>
      </c>
      <c r="F122" t="s">
        <v>43</v>
      </c>
      <c r="G122" t="s">
        <v>77</v>
      </c>
      <c r="H122">
        <v>1</v>
      </c>
      <c r="I122" s="5">
        <v>45</v>
      </c>
      <c r="J122" t="s">
        <v>61</v>
      </c>
      <c r="K122" s="5">
        <v>45</v>
      </c>
    </row>
    <row r="123" spans="1:11" x14ac:dyDescent="0.2">
      <c r="A123" t="s">
        <v>293</v>
      </c>
      <c r="B123" s="4">
        <v>46058</v>
      </c>
      <c r="C123" t="s">
        <v>250</v>
      </c>
      <c r="D123" t="s">
        <v>47</v>
      </c>
      <c r="E123" t="s">
        <v>35</v>
      </c>
      <c r="F123" t="s">
        <v>71</v>
      </c>
      <c r="G123" t="s">
        <v>95</v>
      </c>
      <c r="H123">
        <v>2</v>
      </c>
      <c r="I123" s="5">
        <v>18</v>
      </c>
      <c r="J123" t="s">
        <v>38</v>
      </c>
      <c r="K123" s="5">
        <v>36</v>
      </c>
    </row>
    <row r="124" spans="1:11" x14ac:dyDescent="0.2">
      <c r="A124" t="s">
        <v>294</v>
      </c>
      <c r="B124" s="4">
        <v>46058</v>
      </c>
      <c r="C124" t="s">
        <v>295</v>
      </c>
      <c r="D124" t="s">
        <v>47</v>
      </c>
      <c r="E124" t="s">
        <v>91</v>
      </c>
      <c r="F124" t="s">
        <v>71</v>
      </c>
      <c r="G124" t="s">
        <v>72</v>
      </c>
      <c r="H124">
        <v>2</v>
      </c>
      <c r="I124" s="5">
        <v>49.5</v>
      </c>
      <c r="J124" t="s">
        <v>38</v>
      </c>
      <c r="K124" s="5">
        <v>99</v>
      </c>
    </row>
    <row r="125" spans="1:11" x14ac:dyDescent="0.2">
      <c r="A125" t="s">
        <v>296</v>
      </c>
      <c r="B125" s="4">
        <v>46059</v>
      </c>
      <c r="C125" t="s">
        <v>297</v>
      </c>
      <c r="D125" t="s">
        <v>34</v>
      </c>
      <c r="E125" t="s">
        <v>91</v>
      </c>
      <c r="F125" t="s">
        <v>59</v>
      </c>
      <c r="G125" t="s">
        <v>106</v>
      </c>
      <c r="H125">
        <v>1</v>
      </c>
      <c r="I125" s="5">
        <v>28</v>
      </c>
      <c r="J125" t="s">
        <v>38</v>
      </c>
      <c r="K125" s="5">
        <v>28</v>
      </c>
    </row>
    <row r="126" spans="1:11" x14ac:dyDescent="0.2">
      <c r="A126" t="s">
        <v>298</v>
      </c>
      <c r="B126" s="4">
        <v>46059</v>
      </c>
      <c r="C126" t="s">
        <v>228</v>
      </c>
      <c r="D126" t="s">
        <v>114</v>
      </c>
      <c r="E126" t="s">
        <v>91</v>
      </c>
      <c r="F126" t="s">
        <v>43</v>
      </c>
      <c r="G126" t="s">
        <v>83</v>
      </c>
      <c r="H126">
        <v>1</v>
      </c>
      <c r="I126" s="5">
        <v>39</v>
      </c>
      <c r="J126" t="s">
        <v>38</v>
      </c>
      <c r="K126" s="5">
        <v>39</v>
      </c>
    </row>
    <row r="127" spans="1:11" x14ac:dyDescent="0.2">
      <c r="A127" t="s">
        <v>299</v>
      </c>
      <c r="B127" s="4">
        <v>46059</v>
      </c>
      <c r="C127" t="s">
        <v>300</v>
      </c>
      <c r="D127" t="s">
        <v>114</v>
      </c>
      <c r="E127" t="s">
        <v>35</v>
      </c>
      <c r="F127" t="s">
        <v>36</v>
      </c>
      <c r="G127" t="s">
        <v>85</v>
      </c>
      <c r="H127">
        <v>1</v>
      </c>
      <c r="I127" s="5">
        <v>89</v>
      </c>
      <c r="J127" t="s">
        <v>61</v>
      </c>
      <c r="K127" s="5">
        <v>89</v>
      </c>
    </row>
    <row r="128" spans="1:11" x14ac:dyDescent="0.2">
      <c r="A128" t="s">
        <v>301</v>
      </c>
      <c r="B128" s="4">
        <v>46059</v>
      </c>
      <c r="C128" t="s">
        <v>236</v>
      </c>
      <c r="D128" t="s">
        <v>58</v>
      </c>
      <c r="E128" t="s">
        <v>42</v>
      </c>
      <c r="F128" t="s">
        <v>43</v>
      </c>
      <c r="G128" t="s">
        <v>77</v>
      </c>
      <c r="H128">
        <v>3</v>
      </c>
      <c r="I128" s="5">
        <v>45</v>
      </c>
      <c r="J128" t="s">
        <v>38</v>
      </c>
      <c r="K128" s="5">
        <v>135</v>
      </c>
    </row>
    <row r="129" spans="1:11" x14ac:dyDescent="0.2">
      <c r="A129" t="s">
        <v>302</v>
      </c>
      <c r="B129" s="4">
        <v>46059</v>
      </c>
      <c r="C129" t="s">
        <v>303</v>
      </c>
      <c r="D129" t="s">
        <v>47</v>
      </c>
      <c r="E129" t="s">
        <v>35</v>
      </c>
      <c r="F129" t="s">
        <v>59</v>
      </c>
      <c r="G129" t="s">
        <v>60</v>
      </c>
      <c r="H129">
        <v>2</v>
      </c>
      <c r="I129" s="5">
        <v>120</v>
      </c>
      <c r="J129" t="s">
        <v>38</v>
      </c>
      <c r="K129" s="5">
        <v>240</v>
      </c>
    </row>
    <row r="130" spans="1:11" x14ac:dyDescent="0.2">
      <c r="A130" t="s">
        <v>304</v>
      </c>
      <c r="B130" s="4">
        <v>46059</v>
      </c>
      <c r="C130" t="s">
        <v>167</v>
      </c>
      <c r="D130" t="s">
        <v>34</v>
      </c>
      <c r="E130" t="s">
        <v>35</v>
      </c>
      <c r="F130" t="s">
        <v>71</v>
      </c>
      <c r="G130" t="s">
        <v>88</v>
      </c>
      <c r="H130">
        <v>1</v>
      </c>
      <c r="I130" s="5">
        <v>75</v>
      </c>
      <c r="J130" t="s">
        <v>38</v>
      </c>
      <c r="K130" s="5">
        <v>75</v>
      </c>
    </row>
    <row r="131" spans="1:11" x14ac:dyDescent="0.2">
      <c r="A131" t="s">
        <v>305</v>
      </c>
      <c r="B131" s="4">
        <v>46059</v>
      </c>
      <c r="C131" t="s">
        <v>151</v>
      </c>
      <c r="D131" t="s">
        <v>114</v>
      </c>
      <c r="E131" t="s">
        <v>91</v>
      </c>
      <c r="F131" t="s">
        <v>36</v>
      </c>
      <c r="G131" t="s">
        <v>37</v>
      </c>
      <c r="H131">
        <v>2</v>
      </c>
      <c r="I131" s="5">
        <v>36.75</v>
      </c>
      <c r="J131" t="s">
        <v>61</v>
      </c>
      <c r="K131" s="5">
        <v>73.5</v>
      </c>
    </row>
    <row r="132" spans="1:11" x14ac:dyDescent="0.2">
      <c r="A132" t="s">
        <v>306</v>
      </c>
      <c r="B132" s="4">
        <v>46060</v>
      </c>
      <c r="C132" t="s">
        <v>240</v>
      </c>
      <c r="D132" t="s">
        <v>114</v>
      </c>
      <c r="E132" t="s">
        <v>35</v>
      </c>
      <c r="F132" t="s">
        <v>71</v>
      </c>
      <c r="G132" t="s">
        <v>92</v>
      </c>
      <c r="H132">
        <v>1</v>
      </c>
      <c r="I132" s="5">
        <v>65</v>
      </c>
      <c r="J132" t="s">
        <v>38</v>
      </c>
      <c r="K132" s="5">
        <v>65</v>
      </c>
    </row>
    <row r="133" spans="1:11" x14ac:dyDescent="0.2">
      <c r="A133" t="s">
        <v>307</v>
      </c>
      <c r="B133" s="4">
        <v>46061</v>
      </c>
      <c r="C133" t="s">
        <v>308</v>
      </c>
      <c r="D133" t="s">
        <v>47</v>
      </c>
      <c r="E133" t="s">
        <v>42</v>
      </c>
      <c r="F133" t="s">
        <v>59</v>
      </c>
      <c r="G133" t="s">
        <v>106</v>
      </c>
      <c r="H133">
        <v>2</v>
      </c>
      <c r="I133" s="5">
        <v>25.2</v>
      </c>
      <c r="J133" t="s">
        <v>61</v>
      </c>
      <c r="K133" s="5">
        <v>50.4</v>
      </c>
    </row>
    <row r="134" spans="1:11" x14ac:dyDescent="0.2">
      <c r="A134" t="s">
        <v>309</v>
      </c>
      <c r="B134" s="4">
        <v>46061</v>
      </c>
      <c r="C134" t="s">
        <v>273</v>
      </c>
      <c r="D134" t="s">
        <v>47</v>
      </c>
      <c r="E134" t="s">
        <v>35</v>
      </c>
      <c r="F134" t="s">
        <v>71</v>
      </c>
      <c r="G134" t="s">
        <v>92</v>
      </c>
      <c r="H134">
        <v>1</v>
      </c>
      <c r="I134" s="5">
        <v>68.25</v>
      </c>
      <c r="J134" t="s">
        <v>38</v>
      </c>
      <c r="K134" s="5">
        <v>68.25</v>
      </c>
    </row>
    <row r="135" spans="1:11" x14ac:dyDescent="0.2">
      <c r="A135" t="s">
        <v>310</v>
      </c>
      <c r="B135" s="4">
        <v>46061</v>
      </c>
      <c r="C135" t="s">
        <v>171</v>
      </c>
      <c r="D135" t="s">
        <v>114</v>
      </c>
      <c r="E135" t="s">
        <v>42</v>
      </c>
      <c r="F135" t="s">
        <v>51</v>
      </c>
      <c r="G135" t="s">
        <v>155</v>
      </c>
      <c r="H135">
        <v>2</v>
      </c>
      <c r="I135" s="5">
        <v>60</v>
      </c>
      <c r="J135" t="s">
        <v>38</v>
      </c>
      <c r="K135" s="5">
        <v>120</v>
      </c>
    </row>
    <row r="136" spans="1:11" x14ac:dyDescent="0.2">
      <c r="A136" t="s">
        <v>311</v>
      </c>
      <c r="B136" s="4">
        <v>46062</v>
      </c>
      <c r="C136" t="s">
        <v>273</v>
      </c>
      <c r="D136" t="s">
        <v>41</v>
      </c>
      <c r="E136" t="s">
        <v>42</v>
      </c>
      <c r="F136" t="s">
        <v>59</v>
      </c>
      <c r="G136" t="s">
        <v>60</v>
      </c>
      <c r="H136">
        <v>4</v>
      </c>
      <c r="I136" s="5">
        <v>120</v>
      </c>
      <c r="J136" t="s">
        <v>61</v>
      </c>
      <c r="K136" s="5">
        <v>480</v>
      </c>
    </row>
    <row r="137" spans="1:11" x14ac:dyDescent="0.2">
      <c r="A137" t="s">
        <v>312</v>
      </c>
      <c r="B137" s="4">
        <v>46062</v>
      </c>
      <c r="C137" t="s">
        <v>279</v>
      </c>
      <c r="D137" t="s">
        <v>47</v>
      </c>
      <c r="E137" t="s">
        <v>91</v>
      </c>
      <c r="F137" t="s">
        <v>36</v>
      </c>
      <c r="G137" t="s">
        <v>122</v>
      </c>
      <c r="H137">
        <v>1</v>
      </c>
      <c r="I137" s="5">
        <v>26.25</v>
      </c>
      <c r="J137" t="s">
        <v>38</v>
      </c>
      <c r="K137" s="5">
        <v>26.25</v>
      </c>
    </row>
    <row r="138" spans="1:11" x14ac:dyDescent="0.2">
      <c r="A138" t="s">
        <v>313</v>
      </c>
      <c r="B138" s="4">
        <v>46062</v>
      </c>
      <c r="C138" t="s">
        <v>314</v>
      </c>
      <c r="D138" t="s">
        <v>41</v>
      </c>
      <c r="E138" t="s">
        <v>42</v>
      </c>
      <c r="F138" t="s">
        <v>36</v>
      </c>
      <c r="G138" t="s">
        <v>122</v>
      </c>
      <c r="H138">
        <v>3</v>
      </c>
      <c r="I138" s="5">
        <v>25</v>
      </c>
      <c r="J138" t="s">
        <v>38</v>
      </c>
      <c r="K138" s="5">
        <v>75</v>
      </c>
    </row>
    <row r="139" spans="1:11" x14ac:dyDescent="0.2">
      <c r="A139" t="s">
        <v>315</v>
      </c>
      <c r="B139" s="4">
        <v>46063</v>
      </c>
      <c r="C139" t="s">
        <v>316</v>
      </c>
      <c r="D139" t="s">
        <v>58</v>
      </c>
      <c r="E139" t="s">
        <v>91</v>
      </c>
      <c r="F139" t="s">
        <v>36</v>
      </c>
      <c r="G139" t="s">
        <v>68</v>
      </c>
      <c r="H139">
        <v>2</v>
      </c>
      <c r="I139" s="5">
        <v>79</v>
      </c>
      <c r="J139" t="s">
        <v>65</v>
      </c>
      <c r="K139" s="5">
        <v>158</v>
      </c>
    </row>
    <row r="140" spans="1:11" x14ac:dyDescent="0.2">
      <c r="A140" t="s">
        <v>317</v>
      </c>
      <c r="B140" s="4">
        <v>46063</v>
      </c>
      <c r="C140" t="s">
        <v>318</v>
      </c>
      <c r="D140" t="s">
        <v>47</v>
      </c>
      <c r="E140" t="s">
        <v>35</v>
      </c>
      <c r="F140" t="s">
        <v>43</v>
      </c>
      <c r="G140" t="s">
        <v>48</v>
      </c>
      <c r="H140">
        <v>2</v>
      </c>
      <c r="I140" s="5">
        <v>179</v>
      </c>
      <c r="J140" t="s">
        <v>38</v>
      </c>
      <c r="K140" s="5">
        <v>358</v>
      </c>
    </row>
    <row r="141" spans="1:11" x14ac:dyDescent="0.2">
      <c r="A141" t="s">
        <v>319</v>
      </c>
      <c r="B141" s="4">
        <v>46063</v>
      </c>
      <c r="C141" t="s">
        <v>269</v>
      </c>
      <c r="D141" t="s">
        <v>47</v>
      </c>
      <c r="E141" t="s">
        <v>91</v>
      </c>
      <c r="F141" t="s">
        <v>36</v>
      </c>
      <c r="G141" t="s">
        <v>152</v>
      </c>
      <c r="H141">
        <v>4</v>
      </c>
      <c r="I141" s="5">
        <v>59</v>
      </c>
      <c r="J141" t="s">
        <v>38</v>
      </c>
      <c r="K141" s="5">
        <v>236</v>
      </c>
    </row>
    <row r="142" spans="1:11" x14ac:dyDescent="0.2">
      <c r="A142" t="s">
        <v>320</v>
      </c>
      <c r="B142" s="4">
        <v>46063</v>
      </c>
      <c r="C142" t="s">
        <v>321</v>
      </c>
      <c r="D142" t="s">
        <v>41</v>
      </c>
      <c r="E142" t="s">
        <v>42</v>
      </c>
      <c r="F142" t="s">
        <v>51</v>
      </c>
      <c r="G142" t="s">
        <v>52</v>
      </c>
      <c r="H142">
        <v>2</v>
      </c>
      <c r="I142" s="5">
        <v>45</v>
      </c>
      <c r="J142" t="s">
        <v>38</v>
      </c>
      <c r="K142" s="5">
        <v>90</v>
      </c>
    </row>
    <row r="143" spans="1:11" x14ac:dyDescent="0.2">
      <c r="A143" t="s">
        <v>322</v>
      </c>
      <c r="B143" s="4">
        <v>46064</v>
      </c>
      <c r="C143" t="s">
        <v>323</v>
      </c>
      <c r="D143" t="s">
        <v>47</v>
      </c>
      <c r="E143" t="s">
        <v>35</v>
      </c>
      <c r="F143" t="s">
        <v>43</v>
      </c>
      <c r="G143" t="s">
        <v>77</v>
      </c>
      <c r="H143">
        <v>1</v>
      </c>
      <c r="I143" s="5">
        <v>45</v>
      </c>
      <c r="J143" t="s">
        <v>38</v>
      </c>
      <c r="K143" s="5">
        <v>45</v>
      </c>
    </row>
    <row r="144" spans="1:11" x14ac:dyDescent="0.2">
      <c r="A144" t="s">
        <v>324</v>
      </c>
      <c r="B144" s="4">
        <v>46064</v>
      </c>
      <c r="C144" t="s">
        <v>325</v>
      </c>
      <c r="D144" t="s">
        <v>41</v>
      </c>
      <c r="E144" t="s">
        <v>35</v>
      </c>
      <c r="F144" t="s">
        <v>326</v>
      </c>
      <c r="G144" t="s">
        <v>48</v>
      </c>
      <c r="H144">
        <v>1</v>
      </c>
      <c r="I144" s="5">
        <v>179</v>
      </c>
      <c r="J144" t="s">
        <v>38</v>
      </c>
      <c r="K144" s="5">
        <v>179</v>
      </c>
    </row>
    <row r="145" spans="1:11" x14ac:dyDescent="0.2">
      <c r="A145" t="s">
        <v>327</v>
      </c>
      <c r="B145" s="4">
        <v>46065</v>
      </c>
      <c r="C145" t="s">
        <v>328</v>
      </c>
      <c r="D145" t="s">
        <v>58</v>
      </c>
      <c r="E145" t="s">
        <v>91</v>
      </c>
      <c r="F145" t="s">
        <v>71</v>
      </c>
      <c r="G145" t="s">
        <v>88</v>
      </c>
      <c r="H145">
        <v>5</v>
      </c>
      <c r="I145" s="5">
        <v>75</v>
      </c>
      <c r="J145" t="s">
        <v>38</v>
      </c>
      <c r="K145" s="5">
        <v>375</v>
      </c>
    </row>
    <row r="146" spans="1:11" x14ac:dyDescent="0.2">
      <c r="A146" t="s">
        <v>329</v>
      </c>
      <c r="B146" s="4">
        <v>46065</v>
      </c>
      <c r="C146" t="s">
        <v>330</v>
      </c>
      <c r="D146" t="s">
        <v>47</v>
      </c>
      <c r="E146" t="s">
        <v>42</v>
      </c>
      <c r="F146" t="s">
        <v>36</v>
      </c>
      <c r="G146" t="s">
        <v>122</v>
      </c>
      <c r="H146">
        <v>1</v>
      </c>
      <c r="I146" s="5">
        <v>25</v>
      </c>
      <c r="J146" t="s">
        <v>61</v>
      </c>
      <c r="K146" s="5">
        <v>25</v>
      </c>
    </row>
    <row r="147" spans="1:11" x14ac:dyDescent="0.2">
      <c r="A147" t="s">
        <v>331</v>
      </c>
      <c r="B147" s="4">
        <v>46067</v>
      </c>
      <c r="C147" t="s">
        <v>234</v>
      </c>
      <c r="D147" t="s">
        <v>47</v>
      </c>
      <c r="E147" t="s">
        <v>91</v>
      </c>
      <c r="F147" t="s">
        <v>71</v>
      </c>
      <c r="G147" t="s">
        <v>92</v>
      </c>
      <c r="H147">
        <v>1</v>
      </c>
      <c r="I147" s="5">
        <v>65</v>
      </c>
      <c r="J147" t="s">
        <v>65</v>
      </c>
      <c r="K147" s="5">
        <v>65</v>
      </c>
    </row>
    <row r="148" spans="1:11" x14ac:dyDescent="0.2">
      <c r="A148" t="s">
        <v>332</v>
      </c>
      <c r="B148" s="4">
        <v>46067</v>
      </c>
      <c r="C148" t="s">
        <v>333</v>
      </c>
      <c r="D148" t="s">
        <v>47</v>
      </c>
      <c r="E148" t="s">
        <v>91</v>
      </c>
      <c r="F148" t="s">
        <v>71</v>
      </c>
      <c r="G148" t="s">
        <v>72</v>
      </c>
      <c r="H148">
        <v>5</v>
      </c>
      <c r="I148" s="5">
        <v>55</v>
      </c>
      <c r="J148" t="s">
        <v>61</v>
      </c>
      <c r="K148" s="5">
        <v>275</v>
      </c>
    </row>
    <row r="149" spans="1:11" x14ac:dyDescent="0.2">
      <c r="A149" t="s">
        <v>334</v>
      </c>
      <c r="B149" s="4">
        <v>46067</v>
      </c>
      <c r="C149" t="s">
        <v>209</v>
      </c>
      <c r="D149" t="s">
        <v>114</v>
      </c>
      <c r="E149" t="s">
        <v>42</v>
      </c>
      <c r="F149" t="s">
        <v>43</v>
      </c>
      <c r="G149" t="s">
        <v>77</v>
      </c>
      <c r="H149">
        <v>4</v>
      </c>
      <c r="I149" s="5">
        <v>47.25</v>
      </c>
      <c r="J149" t="s">
        <v>38</v>
      </c>
      <c r="K149" s="5">
        <v>189</v>
      </c>
    </row>
    <row r="150" spans="1:11" x14ac:dyDescent="0.2">
      <c r="A150" t="s">
        <v>335</v>
      </c>
      <c r="B150" s="4">
        <v>46067</v>
      </c>
      <c r="C150" t="s">
        <v>146</v>
      </c>
      <c r="D150" t="s">
        <v>47</v>
      </c>
      <c r="E150" t="s">
        <v>42</v>
      </c>
      <c r="F150" t="s">
        <v>36</v>
      </c>
      <c r="G150" t="s">
        <v>37</v>
      </c>
      <c r="H150">
        <v>3</v>
      </c>
      <c r="I150" s="5">
        <v>35</v>
      </c>
      <c r="J150" t="s">
        <v>61</v>
      </c>
      <c r="K150" s="5">
        <v>105</v>
      </c>
    </row>
    <row r="151" spans="1:11" x14ac:dyDescent="0.2">
      <c r="A151" t="s">
        <v>336</v>
      </c>
      <c r="B151" s="4">
        <v>46067</v>
      </c>
      <c r="C151" t="s">
        <v>191</v>
      </c>
      <c r="D151" t="s">
        <v>47</v>
      </c>
      <c r="E151" t="s">
        <v>42</v>
      </c>
      <c r="F151" t="s">
        <v>71</v>
      </c>
      <c r="G151" t="s">
        <v>95</v>
      </c>
      <c r="H151">
        <v>2</v>
      </c>
      <c r="I151" s="5">
        <v>20</v>
      </c>
      <c r="J151" t="s">
        <v>38</v>
      </c>
      <c r="K151" s="5">
        <v>40</v>
      </c>
    </row>
    <row r="152" spans="1:11" x14ac:dyDescent="0.2">
      <c r="A152" t="s">
        <v>337</v>
      </c>
      <c r="B152" s="4">
        <v>46067</v>
      </c>
      <c r="C152" t="s">
        <v>283</v>
      </c>
      <c r="D152" t="s">
        <v>47</v>
      </c>
      <c r="E152" t="s">
        <v>35</v>
      </c>
      <c r="F152" t="s">
        <v>59</v>
      </c>
      <c r="G152" t="s">
        <v>80</v>
      </c>
      <c r="H152">
        <v>1</v>
      </c>
      <c r="I152" s="5">
        <v>35</v>
      </c>
      <c r="J152" t="s">
        <v>38</v>
      </c>
      <c r="K152" s="5">
        <v>35</v>
      </c>
    </row>
    <row r="153" spans="1:11" x14ac:dyDescent="0.2">
      <c r="A153" t="s">
        <v>338</v>
      </c>
      <c r="B153" s="4">
        <v>46067</v>
      </c>
      <c r="C153" t="s">
        <v>339</v>
      </c>
      <c r="D153" t="s">
        <v>41</v>
      </c>
      <c r="E153" t="s">
        <v>35</v>
      </c>
      <c r="F153" t="s">
        <v>51</v>
      </c>
      <c r="G153" t="s">
        <v>155</v>
      </c>
      <c r="H153">
        <v>4</v>
      </c>
      <c r="I153" s="5">
        <v>60</v>
      </c>
      <c r="J153" t="s">
        <v>61</v>
      </c>
      <c r="K153" s="5">
        <v>240</v>
      </c>
    </row>
    <row r="154" spans="1:11" x14ac:dyDescent="0.2">
      <c r="A154" t="s">
        <v>340</v>
      </c>
      <c r="B154" s="4">
        <v>46068</v>
      </c>
      <c r="C154" t="s">
        <v>341</v>
      </c>
      <c r="D154" t="s">
        <v>41</v>
      </c>
      <c r="E154" t="s">
        <v>91</v>
      </c>
      <c r="F154" t="s">
        <v>43</v>
      </c>
      <c r="G154" t="s">
        <v>83</v>
      </c>
      <c r="H154">
        <v>1</v>
      </c>
      <c r="I154" s="5">
        <v>40.950000000000003</v>
      </c>
      <c r="J154" t="s">
        <v>65</v>
      </c>
      <c r="K154" s="5">
        <v>40.950000000000003</v>
      </c>
    </row>
    <row r="155" spans="1:11" x14ac:dyDescent="0.2">
      <c r="A155" t="s">
        <v>342</v>
      </c>
      <c r="B155" s="4">
        <v>46069</v>
      </c>
      <c r="C155" t="s">
        <v>343</v>
      </c>
      <c r="D155" t="s">
        <v>41</v>
      </c>
      <c r="E155" t="s">
        <v>42</v>
      </c>
      <c r="F155" t="s">
        <v>36</v>
      </c>
      <c r="G155" t="s">
        <v>122</v>
      </c>
      <c r="H155">
        <v>4</v>
      </c>
      <c r="I155" s="5">
        <v>25</v>
      </c>
      <c r="J155" t="s">
        <v>65</v>
      </c>
      <c r="K155" s="5">
        <v>100</v>
      </c>
    </row>
    <row r="156" spans="1:11" x14ac:dyDescent="0.2">
      <c r="A156" t="s">
        <v>344</v>
      </c>
      <c r="B156" s="4">
        <v>46069</v>
      </c>
      <c r="C156" t="s">
        <v>269</v>
      </c>
      <c r="D156" t="s">
        <v>58</v>
      </c>
      <c r="E156" t="s">
        <v>91</v>
      </c>
      <c r="F156" t="s">
        <v>43</v>
      </c>
      <c r="G156" t="s">
        <v>83</v>
      </c>
      <c r="H156">
        <v>1</v>
      </c>
      <c r="I156" s="5">
        <v>40.950000000000003</v>
      </c>
      <c r="J156" t="s">
        <v>65</v>
      </c>
      <c r="K156" s="5">
        <v>40.950000000000003</v>
      </c>
    </row>
    <row r="157" spans="1:11" x14ac:dyDescent="0.2">
      <c r="A157" t="s">
        <v>345</v>
      </c>
      <c r="B157" s="4">
        <v>46070</v>
      </c>
      <c r="C157" t="s">
        <v>250</v>
      </c>
      <c r="D157" t="s">
        <v>47</v>
      </c>
      <c r="E157" t="s">
        <v>35</v>
      </c>
      <c r="F157" t="s">
        <v>59</v>
      </c>
      <c r="G157" t="s">
        <v>111</v>
      </c>
      <c r="H157">
        <v>1</v>
      </c>
      <c r="I157" s="5">
        <v>67.5</v>
      </c>
      <c r="J157" t="s">
        <v>38</v>
      </c>
      <c r="K157" s="5">
        <v>67.5</v>
      </c>
    </row>
    <row r="158" spans="1:11" x14ac:dyDescent="0.2">
      <c r="A158" t="s">
        <v>346</v>
      </c>
      <c r="B158" s="4">
        <v>46070</v>
      </c>
      <c r="C158" t="s">
        <v>94</v>
      </c>
      <c r="D158" t="s">
        <v>34</v>
      </c>
      <c r="E158" t="s">
        <v>91</v>
      </c>
      <c r="F158" t="s">
        <v>36</v>
      </c>
      <c r="G158" t="s">
        <v>68</v>
      </c>
      <c r="H158">
        <v>2</v>
      </c>
      <c r="I158" s="5">
        <v>82.95</v>
      </c>
      <c r="J158" t="s">
        <v>38</v>
      </c>
      <c r="K158" s="5">
        <v>165.9</v>
      </c>
    </row>
    <row r="159" spans="1:11" x14ac:dyDescent="0.2">
      <c r="A159" t="s">
        <v>347</v>
      </c>
      <c r="B159" s="4">
        <v>46071</v>
      </c>
      <c r="C159" t="s">
        <v>348</v>
      </c>
      <c r="D159" t="s">
        <v>41</v>
      </c>
      <c r="E159" t="s">
        <v>91</v>
      </c>
      <c r="F159" t="s">
        <v>71</v>
      </c>
      <c r="G159" t="s">
        <v>95</v>
      </c>
      <c r="H159">
        <v>2</v>
      </c>
      <c r="I159" s="5">
        <v>20</v>
      </c>
      <c r="J159" t="s">
        <v>65</v>
      </c>
      <c r="K159" s="5">
        <v>40</v>
      </c>
    </row>
    <row r="160" spans="1:11" x14ac:dyDescent="0.2">
      <c r="A160" t="s">
        <v>349</v>
      </c>
      <c r="B160" s="4">
        <v>46071</v>
      </c>
      <c r="C160" t="s">
        <v>350</v>
      </c>
      <c r="D160" t="s">
        <v>47</v>
      </c>
      <c r="E160" t="s">
        <v>42</v>
      </c>
      <c r="F160" t="s">
        <v>43</v>
      </c>
      <c r="G160" t="s">
        <v>83</v>
      </c>
      <c r="H160">
        <v>2</v>
      </c>
      <c r="I160" s="5">
        <v>39</v>
      </c>
      <c r="J160" t="s">
        <v>38</v>
      </c>
      <c r="K160" s="5">
        <v>78</v>
      </c>
    </row>
    <row r="161" spans="1:11" x14ac:dyDescent="0.2">
      <c r="A161" t="s">
        <v>351</v>
      </c>
      <c r="B161" s="4">
        <v>46071</v>
      </c>
      <c r="C161" t="s">
        <v>352</v>
      </c>
      <c r="D161" t="s">
        <v>47</v>
      </c>
      <c r="E161" t="s">
        <v>35</v>
      </c>
      <c r="F161" t="s">
        <v>36</v>
      </c>
      <c r="G161" t="s">
        <v>152</v>
      </c>
      <c r="H161">
        <v>2</v>
      </c>
      <c r="I161" s="5">
        <v>61.95</v>
      </c>
      <c r="J161" t="s">
        <v>38</v>
      </c>
      <c r="K161" s="5">
        <v>123.9</v>
      </c>
    </row>
    <row r="162" spans="1:11" x14ac:dyDescent="0.2">
      <c r="A162" t="s">
        <v>353</v>
      </c>
      <c r="B162" s="4">
        <v>46072</v>
      </c>
      <c r="C162" t="s">
        <v>354</v>
      </c>
      <c r="D162" t="s">
        <v>47</v>
      </c>
      <c r="E162" t="s">
        <v>35</v>
      </c>
      <c r="F162" t="s">
        <v>43</v>
      </c>
      <c r="G162" t="s">
        <v>142</v>
      </c>
      <c r="H162">
        <v>4</v>
      </c>
      <c r="I162" s="5">
        <v>33.6</v>
      </c>
      <c r="J162" t="s">
        <v>38</v>
      </c>
      <c r="K162" s="5">
        <v>134.4</v>
      </c>
    </row>
    <row r="163" spans="1:11" x14ac:dyDescent="0.2">
      <c r="A163" t="s">
        <v>355</v>
      </c>
      <c r="B163" s="4">
        <v>46073</v>
      </c>
      <c r="C163" t="s">
        <v>356</v>
      </c>
      <c r="D163" t="s">
        <v>47</v>
      </c>
      <c r="E163" t="s">
        <v>35</v>
      </c>
      <c r="F163" t="s">
        <v>36</v>
      </c>
      <c r="G163" t="s">
        <v>122</v>
      </c>
      <c r="H163">
        <v>1</v>
      </c>
      <c r="I163" s="5">
        <v>26.25</v>
      </c>
      <c r="J163" t="s">
        <v>61</v>
      </c>
      <c r="K163" s="5">
        <v>26.25</v>
      </c>
    </row>
    <row r="164" spans="1:11" x14ac:dyDescent="0.2">
      <c r="A164" t="s">
        <v>357</v>
      </c>
      <c r="B164" s="4">
        <v>46073</v>
      </c>
      <c r="C164" t="s">
        <v>358</v>
      </c>
      <c r="D164" t="s">
        <v>58</v>
      </c>
      <c r="E164" t="s">
        <v>42</v>
      </c>
      <c r="F164" t="s">
        <v>36</v>
      </c>
      <c r="G164" t="s">
        <v>152</v>
      </c>
      <c r="H164">
        <v>2</v>
      </c>
      <c r="I164" s="5">
        <v>61.95</v>
      </c>
      <c r="J164" t="s">
        <v>38</v>
      </c>
      <c r="K164" s="5">
        <v>123.9</v>
      </c>
    </row>
    <row r="165" spans="1:11" x14ac:dyDescent="0.2">
      <c r="A165" t="s">
        <v>359</v>
      </c>
      <c r="B165" s="4">
        <v>46073</v>
      </c>
      <c r="C165" t="s">
        <v>243</v>
      </c>
      <c r="D165" t="s">
        <v>47</v>
      </c>
      <c r="E165" t="s">
        <v>42</v>
      </c>
      <c r="F165" t="s">
        <v>36</v>
      </c>
      <c r="G165" t="s">
        <v>37</v>
      </c>
      <c r="H165">
        <v>2</v>
      </c>
      <c r="I165" s="5">
        <v>35</v>
      </c>
      <c r="J165" t="s">
        <v>65</v>
      </c>
      <c r="K165" s="5">
        <v>70</v>
      </c>
    </row>
    <row r="166" spans="1:11" x14ac:dyDescent="0.2">
      <c r="A166" t="s">
        <v>360</v>
      </c>
      <c r="B166" s="4">
        <v>46073</v>
      </c>
      <c r="C166" t="s">
        <v>361</v>
      </c>
      <c r="D166" t="s">
        <v>47</v>
      </c>
      <c r="E166" t="s">
        <v>91</v>
      </c>
      <c r="F166" t="s">
        <v>36</v>
      </c>
      <c r="G166" t="s">
        <v>122</v>
      </c>
      <c r="H166">
        <v>1</v>
      </c>
      <c r="I166" s="5">
        <v>26.25</v>
      </c>
      <c r="J166" t="s">
        <v>38</v>
      </c>
      <c r="K166" s="5">
        <v>26.25</v>
      </c>
    </row>
    <row r="167" spans="1:11" x14ac:dyDescent="0.2">
      <c r="A167" t="s">
        <v>362</v>
      </c>
      <c r="B167" s="4">
        <v>46073</v>
      </c>
      <c r="C167" t="s">
        <v>283</v>
      </c>
      <c r="D167" t="s">
        <v>41</v>
      </c>
      <c r="E167" t="s">
        <v>35</v>
      </c>
      <c r="F167" t="s">
        <v>71</v>
      </c>
      <c r="G167" t="s">
        <v>137</v>
      </c>
      <c r="H167">
        <v>1</v>
      </c>
      <c r="I167" s="5">
        <v>110</v>
      </c>
      <c r="J167" t="s">
        <v>65</v>
      </c>
      <c r="K167" s="5">
        <v>110</v>
      </c>
    </row>
    <row r="168" spans="1:11" x14ac:dyDescent="0.2">
      <c r="A168" t="s">
        <v>363</v>
      </c>
      <c r="B168" s="4">
        <v>46074</v>
      </c>
      <c r="C168" t="s">
        <v>198</v>
      </c>
      <c r="D168" t="s">
        <v>58</v>
      </c>
      <c r="E168" t="s">
        <v>35</v>
      </c>
      <c r="F168" t="s">
        <v>71</v>
      </c>
      <c r="G168" t="s">
        <v>92</v>
      </c>
      <c r="H168">
        <v>1</v>
      </c>
      <c r="I168" s="5">
        <v>65</v>
      </c>
      <c r="J168" t="s">
        <v>38</v>
      </c>
      <c r="K168" s="5">
        <v>65</v>
      </c>
    </row>
    <row r="169" spans="1:11" x14ac:dyDescent="0.2">
      <c r="A169" t="s">
        <v>364</v>
      </c>
      <c r="B169" s="4">
        <v>46074</v>
      </c>
      <c r="C169" t="s">
        <v>365</v>
      </c>
      <c r="D169" t="s">
        <v>47</v>
      </c>
      <c r="E169" t="s">
        <v>42</v>
      </c>
      <c r="F169" t="s">
        <v>36</v>
      </c>
      <c r="G169" t="s">
        <v>68</v>
      </c>
      <c r="H169">
        <v>4</v>
      </c>
      <c r="I169" s="5">
        <v>79</v>
      </c>
      <c r="J169" t="s">
        <v>61</v>
      </c>
      <c r="K169" s="5">
        <v>316</v>
      </c>
    </row>
    <row r="170" spans="1:11" x14ac:dyDescent="0.2">
      <c r="A170" t="s">
        <v>366</v>
      </c>
      <c r="B170" s="4">
        <v>46074</v>
      </c>
      <c r="C170" t="s">
        <v>367</v>
      </c>
      <c r="D170" t="s">
        <v>58</v>
      </c>
      <c r="E170" t="s">
        <v>42</v>
      </c>
      <c r="F170" t="s">
        <v>71</v>
      </c>
      <c r="G170" t="s">
        <v>95</v>
      </c>
      <c r="H170">
        <v>1</v>
      </c>
      <c r="I170" s="5">
        <v>21</v>
      </c>
      <c r="J170" t="s">
        <v>61</v>
      </c>
      <c r="K170" s="5">
        <v>21</v>
      </c>
    </row>
    <row r="171" spans="1:11" x14ac:dyDescent="0.2">
      <c r="A171" t="s">
        <v>368</v>
      </c>
      <c r="B171" s="4">
        <v>46075</v>
      </c>
      <c r="C171" t="s">
        <v>277</v>
      </c>
      <c r="D171" t="s">
        <v>41</v>
      </c>
      <c r="E171" t="s">
        <v>42</v>
      </c>
      <c r="F171" t="s">
        <v>59</v>
      </c>
      <c r="G171" t="s">
        <v>64</v>
      </c>
      <c r="H171">
        <v>2</v>
      </c>
      <c r="I171" s="5">
        <v>18</v>
      </c>
      <c r="J171" t="s">
        <v>38</v>
      </c>
      <c r="K171" s="5">
        <v>36</v>
      </c>
    </row>
    <row r="172" spans="1:11" x14ac:dyDescent="0.2">
      <c r="A172" t="s">
        <v>369</v>
      </c>
      <c r="B172" s="4">
        <v>46075</v>
      </c>
      <c r="C172" t="s">
        <v>370</v>
      </c>
      <c r="D172" t="s">
        <v>41</v>
      </c>
      <c r="E172" t="s">
        <v>35</v>
      </c>
      <c r="F172" t="s">
        <v>43</v>
      </c>
      <c r="G172" t="s">
        <v>48</v>
      </c>
      <c r="H172">
        <v>1</v>
      </c>
      <c r="I172" s="5">
        <v>161.1</v>
      </c>
      <c r="J172" t="s">
        <v>38</v>
      </c>
      <c r="K172" s="5">
        <v>161.1</v>
      </c>
    </row>
    <row r="173" spans="1:11" x14ac:dyDescent="0.2">
      <c r="A173" t="s">
        <v>371</v>
      </c>
      <c r="B173" s="4">
        <v>46075</v>
      </c>
      <c r="C173" t="s">
        <v>178</v>
      </c>
      <c r="D173" t="s">
        <v>58</v>
      </c>
      <c r="E173" t="s">
        <v>42</v>
      </c>
      <c r="F173" t="s">
        <v>36</v>
      </c>
      <c r="G173" t="s">
        <v>122</v>
      </c>
      <c r="H173">
        <v>1</v>
      </c>
      <c r="I173" s="5">
        <v>25</v>
      </c>
      <c r="J173" t="s">
        <v>38</v>
      </c>
      <c r="K173" s="5">
        <v>25</v>
      </c>
    </row>
    <row r="174" spans="1:11" x14ac:dyDescent="0.2">
      <c r="A174" t="s">
        <v>372</v>
      </c>
      <c r="B174" s="4">
        <v>46075</v>
      </c>
      <c r="C174" t="s">
        <v>373</v>
      </c>
      <c r="D174" t="s">
        <v>47</v>
      </c>
      <c r="E174" t="s">
        <v>91</v>
      </c>
      <c r="F174" t="s">
        <v>36</v>
      </c>
      <c r="G174" t="s">
        <v>85</v>
      </c>
      <c r="H174">
        <v>2</v>
      </c>
      <c r="I174" s="5">
        <v>89</v>
      </c>
      <c r="J174" t="s">
        <v>65</v>
      </c>
      <c r="K174" s="5">
        <v>178</v>
      </c>
    </row>
    <row r="175" spans="1:11" x14ac:dyDescent="0.2">
      <c r="A175" t="s">
        <v>374</v>
      </c>
      <c r="B175" s="4">
        <v>46076</v>
      </c>
      <c r="C175" t="s">
        <v>367</v>
      </c>
      <c r="D175" t="s">
        <v>58</v>
      </c>
      <c r="E175" t="s">
        <v>42</v>
      </c>
      <c r="F175" t="s">
        <v>71</v>
      </c>
      <c r="G175" t="s">
        <v>88</v>
      </c>
      <c r="H175">
        <v>1</v>
      </c>
      <c r="I175" s="5">
        <v>75</v>
      </c>
      <c r="J175" t="s">
        <v>38</v>
      </c>
      <c r="K175" s="5">
        <v>75</v>
      </c>
    </row>
    <row r="176" spans="1:11" x14ac:dyDescent="0.2">
      <c r="A176" t="s">
        <v>375</v>
      </c>
      <c r="B176" s="4">
        <v>46076</v>
      </c>
      <c r="C176" t="s">
        <v>376</v>
      </c>
      <c r="D176" t="s">
        <v>47</v>
      </c>
      <c r="E176" t="s">
        <v>35</v>
      </c>
      <c r="F176" t="s">
        <v>51</v>
      </c>
      <c r="G176" t="s">
        <v>119</v>
      </c>
      <c r="H176">
        <v>2</v>
      </c>
      <c r="I176" s="5">
        <v>27</v>
      </c>
      <c r="J176" t="s">
        <v>38</v>
      </c>
      <c r="K176" s="5">
        <v>54</v>
      </c>
    </row>
    <row r="177" spans="1:11" x14ac:dyDescent="0.2">
      <c r="A177" t="s">
        <v>377</v>
      </c>
      <c r="B177" s="4">
        <v>46076</v>
      </c>
      <c r="C177" t="s">
        <v>46</v>
      </c>
      <c r="D177" t="s">
        <v>41</v>
      </c>
      <c r="E177" t="s">
        <v>91</v>
      </c>
      <c r="F177" t="s">
        <v>36</v>
      </c>
      <c r="G177" t="s">
        <v>68</v>
      </c>
      <c r="H177">
        <v>1</v>
      </c>
      <c r="I177" s="5">
        <v>79</v>
      </c>
      <c r="J177" t="s">
        <v>61</v>
      </c>
      <c r="K177" s="5">
        <v>79</v>
      </c>
    </row>
    <row r="178" spans="1:11" x14ac:dyDescent="0.2">
      <c r="A178" t="s">
        <v>378</v>
      </c>
      <c r="B178" s="4">
        <v>46076</v>
      </c>
      <c r="C178" t="s">
        <v>379</v>
      </c>
      <c r="D178" t="s">
        <v>41</v>
      </c>
      <c r="E178" t="s">
        <v>35</v>
      </c>
      <c r="F178" t="s">
        <v>59</v>
      </c>
      <c r="G178" t="s">
        <v>80</v>
      </c>
      <c r="H178">
        <v>1</v>
      </c>
      <c r="I178" s="5">
        <v>35</v>
      </c>
      <c r="J178" t="s">
        <v>38</v>
      </c>
      <c r="K178" s="5">
        <v>35</v>
      </c>
    </row>
    <row r="179" spans="1:11" x14ac:dyDescent="0.2">
      <c r="A179" t="s">
        <v>380</v>
      </c>
      <c r="B179" s="4">
        <v>46076</v>
      </c>
      <c r="C179" t="s">
        <v>333</v>
      </c>
      <c r="D179" t="s">
        <v>47</v>
      </c>
      <c r="E179" t="s">
        <v>35</v>
      </c>
      <c r="F179" t="s">
        <v>36</v>
      </c>
      <c r="G179" t="s">
        <v>85</v>
      </c>
      <c r="H179">
        <v>2</v>
      </c>
      <c r="I179" s="5">
        <v>89</v>
      </c>
      <c r="J179" t="s">
        <v>65</v>
      </c>
      <c r="K179" s="5">
        <v>178</v>
      </c>
    </row>
    <row r="180" spans="1:11" x14ac:dyDescent="0.2">
      <c r="A180" t="s">
        <v>381</v>
      </c>
      <c r="B180" s="4">
        <v>46077</v>
      </c>
      <c r="C180" t="s">
        <v>211</v>
      </c>
      <c r="D180" t="s">
        <v>58</v>
      </c>
      <c r="E180" t="s">
        <v>91</v>
      </c>
      <c r="F180" t="s">
        <v>43</v>
      </c>
      <c r="G180" t="s">
        <v>44</v>
      </c>
      <c r="H180">
        <v>1</v>
      </c>
      <c r="I180" s="5">
        <v>103.95</v>
      </c>
      <c r="J180" t="s">
        <v>38</v>
      </c>
      <c r="K180" s="5">
        <v>103.95</v>
      </c>
    </row>
    <row r="181" spans="1:11" x14ac:dyDescent="0.2">
      <c r="A181" t="s">
        <v>382</v>
      </c>
      <c r="B181" s="4">
        <v>46077</v>
      </c>
      <c r="C181" t="s">
        <v>383</v>
      </c>
      <c r="D181" t="s">
        <v>58</v>
      </c>
      <c r="E181" t="s">
        <v>42</v>
      </c>
      <c r="F181" t="s">
        <v>36</v>
      </c>
      <c r="G181" t="s">
        <v>122</v>
      </c>
      <c r="H181">
        <v>2</v>
      </c>
      <c r="I181" s="5">
        <v>25</v>
      </c>
      <c r="J181" t="s">
        <v>38</v>
      </c>
      <c r="K181" s="5">
        <v>50</v>
      </c>
    </row>
    <row r="182" spans="1:11" x14ac:dyDescent="0.2">
      <c r="A182" t="s">
        <v>384</v>
      </c>
      <c r="B182" s="4">
        <v>46078</v>
      </c>
      <c r="C182" t="s">
        <v>385</v>
      </c>
      <c r="D182" t="s">
        <v>34</v>
      </c>
      <c r="E182" t="s">
        <v>91</v>
      </c>
      <c r="F182" t="s">
        <v>59</v>
      </c>
      <c r="G182" t="s">
        <v>64</v>
      </c>
      <c r="H182">
        <v>1</v>
      </c>
      <c r="I182" s="5">
        <v>16.2</v>
      </c>
      <c r="J182" t="s">
        <v>38</v>
      </c>
      <c r="K182" s="5">
        <v>16.2</v>
      </c>
    </row>
    <row r="183" spans="1:11" x14ac:dyDescent="0.2">
      <c r="A183" t="s">
        <v>386</v>
      </c>
      <c r="B183" s="4">
        <v>46078</v>
      </c>
      <c r="C183" t="s">
        <v>259</v>
      </c>
      <c r="D183" t="s">
        <v>41</v>
      </c>
      <c r="E183" t="s">
        <v>35</v>
      </c>
      <c r="F183" t="s">
        <v>51</v>
      </c>
      <c r="G183" t="s">
        <v>52</v>
      </c>
      <c r="H183">
        <v>2</v>
      </c>
      <c r="I183" s="5">
        <v>45</v>
      </c>
      <c r="J183" t="s">
        <v>38</v>
      </c>
      <c r="K183" s="5">
        <v>90</v>
      </c>
    </row>
    <row r="184" spans="1:11" x14ac:dyDescent="0.2">
      <c r="A184" t="s">
        <v>387</v>
      </c>
      <c r="B184" s="4">
        <v>46078</v>
      </c>
      <c r="C184" t="s">
        <v>246</v>
      </c>
      <c r="D184" t="s">
        <v>47</v>
      </c>
      <c r="E184" t="s">
        <v>42</v>
      </c>
      <c r="F184" t="s">
        <v>36</v>
      </c>
      <c r="G184" t="s">
        <v>37</v>
      </c>
      <c r="H184">
        <v>1</v>
      </c>
      <c r="I184" s="5">
        <v>36.75</v>
      </c>
      <c r="J184" t="s">
        <v>61</v>
      </c>
      <c r="K184" s="5">
        <v>36.75</v>
      </c>
    </row>
    <row r="185" spans="1:11" x14ac:dyDescent="0.2">
      <c r="A185" t="s">
        <v>388</v>
      </c>
      <c r="B185" s="4">
        <v>46079</v>
      </c>
      <c r="C185" t="s">
        <v>389</v>
      </c>
      <c r="D185" t="s">
        <v>47</v>
      </c>
      <c r="E185" t="s">
        <v>35</v>
      </c>
      <c r="F185" t="s">
        <v>71</v>
      </c>
      <c r="G185" t="s">
        <v>88</v>
      </c>
      <c r="H185">
        <v>2</v>
      </c>
      <c r="I185" s="5">
        <v>75</v>
      </c>
      <c r="J185" t="s">
        <v>38</v>
      </c>
      <c r="K185" s="5">
        <v>150</v>
      </c>
    </row>
    <row r="186" spans="1:11" x14ac:dyDescent="0.2">
      <c r="A186" t="s">
        <v>390</v>
      </c>
      <c r="B186" s="4">
        <v>46079</v>
      </c>
      <c r="C186" t="s">
        <v>163</v>
      </c>
      <c r="D186" t="s">
        <v>41</v>
      </c>
      <c r="E186" t="s">
        <v>91</v>
      </c>
      <c r="F186" t="s">
        <v>43</v>
      </c>
      <c r="G186" t="s">
        <v>77</v>
      </c>
      <c r="H186">
        <v>2</v>
      </c>
      <c r="I186" s="5">
        <v>45</v>
      </c>
      <c r="J186" t="s">
        <v>61</v>
      </c>
      <c r="K186" s="5">
        <v>90</v>
      </c>
    </row>
    <row r="187" spans="1:11" x14ac:dyDescent="0.2">
      <c r="A187" t="s">
        <v>391</v>
      </c>
      <c r="B187" s="4">
        <v>46079</v>
      </c>
      <c r="C187" t="s">
        <v>392</v>
      </c>
      <c r="D187" t="s">
        <v>58</v>
      </c>
      <c r="E187" t="s">
        <v>42</v>
      </c>
      <c r="F187" t="s">
        <v>36</v>
      </c>
      <c r="G187" t="s">
        <v>85</v>
      </c>
      <c r="H187">
        <v>1</v>
      </c>
      <c r="I187" s="5">
        <v>89</v>
      </c>
      <c r="J187" t="s">
        <v>61</v>
      </c>
      <c r="K187" s="5">
        <v>89</v>
      </c>
    </row>
    <row r="188" spans="1:11" x14ac:dyDescent="0.2">
      <c r="A188" t="s">
        <v>393</v>
      </c>
      <c r="B188" s="4">
        <v>46079</v>
      </c>
      <c r="C188" t="s">
        <v>394</v>
      </c>
      <c r="D188" t="s">
        <v>47</v>
      </c>
      <c r="E188" t="s">
        <v>35</v>
      </c>
      <c r="F188" t="s">
        <v>51</v>
      </c>
      <c r="G188" t="s">
        <v>119</v>
      </c>
      <c r="H188">
        <v>4</v>
      </c>
      <c r="I188" s="5">
        <v>30</v>
      </c>
      <c r="J188" t="s">
        <v>38</v>
      </c>
      <c r="K188" s="5">
        <v>120</v>
      </c>
    </row>
    <row r="189" spans="1:11" x14ac:dyDescent="0.2">
      <c r="A189" t="s">
        <v>395</v>
      </c>
      <c r="B189" s="4">
        <v>46079</v>
      </c>
      <c r="C189" t="s">
        <v>105</v>
      </c>
      <c r="D189" t="s">
        <v>47</v>
      </c>
      <c r="E189" t="s">
        <v>42</v>
      </c>
      <c r="F189" t="s">
        <v>36</v>
      </c>
      <c r="G189" t="s">
        <v>68</v>
      </c>
      <c r="H189">
        <v>1</v>
      </c>
      <c r="I189" s="5">
        <v>82.95</v>
      </c>
      <c r="J189" t="s">
        <v>38</v>
      </c>
      <c r="K189" s="5">
        <v>82.95</v>
      </c>
    </row>
    <row r="190" spans="1:11" x14ac:dyDescent="0.2">
      <c r="A190" t="s">
        <v>396</v>
      </c>
      <c r="B190" s="4">
        <v>46079</v>
      </c>
      <c r="C190" t="s">
        <v>397</v>
      </c>
      <c r="D190" t="s">
        <v>58</v>
      </c>
      <c r="E190" t="s">
        <v>91</v>
      </c>
      <c r="F190" t="s">
        <v>59</v>
      </c>
      <c r="G190" t="s">
        <v>80</v>
      </c>
      <c r="H190">
        <v>1</v>
      </c>
      <c r="I190" s="5">
        <v>36.75</v>
      </c>
      <c r="J190" t="s">
        <v>38</v>
      </c>
      <c r="K190" s="5">
        <v>36.75</v>
      </c>
    </row>
    <row r="191" spans="1:11" x14ac:dyDescent="0.2">
      <c r="A191" t="s">
        <v>398</v>
      </c>
      <c r="B191" s="4">
        <v>46079</v>
      </c>
      <c r="C191" t="s">
        <v>399</v>
      </c>
      <c r="D191" t="s">
        <v>41</v>
      </c>
      <c r="E191" t="s">
        <v>42</v>
      </c>
      <c r="F191" t="s">
        <v>51</v>
      </c>
      <c r="G191" t="s">
        <v>99</v>
      </c>
      <c r="H191">
        <v>1</v>
      </c>
      <c r="I191" s="5">
        <v>16.2</v>
      </c>
      <c r="J191" t="s">
        <v>61</v>
      </c>
      <c r="K191" s="5">
        <v>16.2</v>
      </c>
    </row>
    <row r="192" spans="1:11" x14ac:dyDescent="0.2">
      <c r="A192" t="s">
        <v>400</v>
      </c>
      <c r="B192" s="4">
        <v>46079</v>
      </c>
      <c r="C192" t="s">
        <v>354</v>
      </c>
      <c r="D192" t="s">
        <v>47</v>
      </c>
      <c r="E192" t="s">
        <v>35</v>
      </c>
      <c r="F192" t="s">
        <v>59</v>
      </c>
      <c r="G192" t="s">
        <v>60</v>
      </c>
      <c r="H192">
        <v>3</v>
      </c>
      <c r="I192" s="5">
        <v>126</v>
      </c>
      <c r="J192" t="s">
        <v>38</v>
      </c>
      <c r="K192" s="5">
        <v>378</v>
      </c>
    </row>
    <row r="193" spans="1:11" x14ac:dyDescent="0.2">
      <c r="A193" t="s">
        <v>401</v>
      </c>
      <c r="B193" s="4">
        <v>46080</v>
      </c>
      <c r="C193" t="s">
        <v>402</v>
      </c>
      <c r="D193" t="s">
        <v>58</v>
      </c>
      <c r="E193" t="s">
        <v>91</v>
      </c>
      <c r="F193" t="s">
        <v>59</v>
      </c>
      <c r="G193" t="s">
        <v>80</v>
      </c>
      <c r="H193">
        <v>2</v>
      </c>
      <c r="I193" s="5">
        <v>35</v>
      </c>
      <c r="J193" t="s">
        <v>61</v>
      </c>
      <c r="K193" s="5">
        <v>70</v>
      </c>
    </row>
    <row r="194" spans="1:11" x14ac:dyDescent="0.2">
      <c r="A194" t="s">
        <v>403</v>
      </c>
      <c r="B194" s="4">
        <v>46080</v>
      </c>
      <c r="C194" t="s">
        <v>131</v>
      </c>
      <c r="D194" t="s">
        <v>58</v>
      </c>
      <c r="E194" t="s">
        <v>35</v>
      </c>
      <c r="F194" t="s">
        <v>36</v>
      </c>
      <c r="G194" t="s">
        <v>152</v>
      </c>
      <c r="H194">
        <v>1</v>
      </c>
      <c r="I194" s="5">
        <v>61.95</v>
      </c>
      <c r="J194" t="s">
        <v>38</v>
      </c>
      <c r="K194" s="5">
        <v>61.95</v>
      </c>
    </row>
    <row r="195" spans="1:11" x14ac:dyDescent="0.2">
      <c r="A195" t="s">
        <v>404</v>
      </c>
      <c r="B195" s="4">
        <v>46080</v>
      </c>
      <c r="C195" t="s">
        <v>405</v>
      </c>
      <c r="D195" t="s">
        <v>47</v>
      </c>
      <c r="E195" t="s">
        <v>91</v>
      </c>
      <c r="F195" t="s">
        <v>71</v>
      </c>
      <c r="G195" t="s">
        <v>88</v>
      </c>
      <c r="H195">
        <v>1</v>
      </c>
      <c r="I195" s="5">
        <v>75</v>
      </c>
      <c r="J195" t="s">
        <v>38</v>
      </c>
      <c r="K195" s="5">
        <v>75</v>
      </c>
    </row>
    <row r="196" spans="1:11" x14ac:dyDescent="0.2">
      <c r="A196" t="s">
        <v>406</v>
      </c>
      <c r="B196" s="4">
        <v>46080</v>
      </c>
      <c r="C196" t="s">
        <v>379</v>
      </c>
      <c r="D196" t="s">
        <v>47</v>
      </c>
      <c r="E196" t="s">
        <v>35</v>
      </c>
      <c r="F196" t="s">
        <v>43</v>
      </c>
      <c r="G196" t="s">
        <v>83</v>
      </c>
      <c r="H196">
        <v>1</v>
      </c>
      <c r="I196" s="5">
        <v>39</v>
      </c>
      <c r="J196" t="s">
        <v>38</v>
      </c>
      <c r="K196" s="5">
        <v>39</v>
      </c>
    </row>
    <row r="197" spans="1:11" x14ac:dyDescent="0.2">
      <c r="A197" t="s">
        <v>407</v>
      </c>
      <c r="B197" s="4">
        <v>46081</v>
      </c>
      <c r="C197" t="s">
        <v>408</v>
      </c>
      <c r="D197" t="s">
        <v>47</v>
      </c>
      <c r="E197" t="s">
        <v>35</v>
      </c>
      <c r="F197" t="s">
        <v>59</v>
      </c>
      <c r="G197" t="s">
        <v>60</v>
      </c>
      <c r="H197">
        <v>4</v>
      </c>
      <c r="I197" s="5">
        <v>126</v>
      </c>
      <c r="J197" t="s">
        <v>38</v>
      </c>
      <c r="K197" s="5">
        <v>504</v>
      </c>
    </row>
    <row r="198" spans="1:11" x14ac:dyDescent="0.2">
      <c r="A198" t="s">
        <v>409</v>
      </c>
      <c r="B198" s="4">
        <v>46081</v>
      </c>
      <c r="C198" t="s">
        <v>254</v>
      </c>
      <c r="D198" t="s">
        <v>114</v>
      </c>
      <c r="E198" t="s">
        <v>42</v>
      </c>
      <c r="F198" t="s">
        <v>71</v>
      </c>
      <c r="G198" t="s">
        <v>92</v>
      </c>
      <c r="H198">
        <v>2</v>
      </c>
      <c r="I198" s="5">
        <v>65</v>
      </c>
      <c r="J198" t="s">
        <v>38</v>
      </c>
      <c r="K198" s="5">
        <v>130</v>
      </c>
    </row>
    <row r="199" spans="1:11" x14ac:dyDescent="0.2">
      <c r="A199" t="s">
        <v>410</v>
      </c>
      <c r="B199" s="4">
        <v>46081</v>
      </c>
      <c r="C199" t="s">
        <v>411</v>
      </c>
      <c r="D199" t="s">
        <v>34</v>
      </c>
      <c r="E199" t="s">
        <v>42</v>
      </c>
      <c r="F199" t="s">
        <v>51</v>
      </c>
      <c r="G199" t="s">
        <v>52</v>
      </c>
      <c r="H199">
        <v>1</v>
      </c>
      <c r="I199" s="5">
        <v>45</v>
      </c>
      <c r="J199" t="s">
        <v>38</v>
      </c>
      <c r="K199" s="5">
        <v>45</v>
      </c>
    </row>
    <row r="200" spans="1:11" x14ac:dyDescent="0.2">
      <c r="A200" t="s">
        <v>412</v>
      </c>
      <c r="B200" s="4">
        <v>46081</v>
      </c>
      <c r="C200" t="s">
        <v>413</v>
      </c>
      <c r="D200" t="s">
        <v>47</v>
      </c>
      <c r="E200" t="s">
        <v>35</v>
      </c>
      <c r="F200" t="s">
        <v>43</v>
      </c>
      <c r="G200" t="s">
        <v>44</v>
      </c>
      <c r="H200">
        <v>1</v>
      </c>
      <c r="I200" s="5">
        <v>99</v>
      </c>
      <c r="J200" t="s">
        <v>38</v>
      </c>
      <c r="K200" s="5">
        <v>99</v>
      </c>
    </row>
    <row r="201" spans="1:11" x14ac:dyDescent="0.2">
      <c r="A201" t="s">
        <v>414</v>
      </c>
      <c r="B201" s="4">
        <v>46081</v>
      </c>
      <c r="C201" t="s">
        <v>415</v>
      </c>
      <c r="D201" t="s">
        <v>34</v>
      </c>
      <c r="E201" t="s">
        <v>35</v>
      </c>
      <c r="F201" t="s">
        <v>71</v>
      </c>
      <c r="G201" t="s">
        <v>92</v>
      </c>
      <c r="H201">
        <v>1</v>
      </c>
      <c r="I201" s="5">
        <v>58.5</v>
      </c>
      <c r="J201" t="s">
        <v>38</v>
      </c>
      <c r="K201" s="5">
        <v>58.5</v>
      </c>
    </row>
    <row r="202" spans="1:11" x14ac:dyDescent="0.2">
      <c r="A202" t="s">
        <v>416</v>
      </c>
      <c r="B202" s="4">
        <v>46082</v>
      </c>
      <c r="C202" t="s">
        <v>275</v>
      </c>
      <c r="D202" t="s">
        <v>58</v>
      </c>
      <c r="E202" t="s">
        <v>35</v>
      </c>
      <c r="F202" t="s">
        <v>71</v>
      </c>
      <c r="G202" t="s">
        <v>137</v>
      </c>
      <c r="H202">
        <v>1</v>
      </c>
      <c r="I202" s="5">
        <v>110</v>
      </c>
      <c r="J202" t="s">
        <v>38</v>
      </c>
      <c r="K202" s="5">
        <v>110</v>
      </c>
    </row>
    <row r="203" spans="1:11" x14ac:dyDescent="0.2">
      <c r="A203" t="s">
        <v>417</v>
      </c>
      <c r="B203" s="4">
        <v>46082</v>
      </c>
      <c r="C203" t="s">
        <v>167</v>
      </c>
      <c r="D203" t="s">
        <v>34</v>
      </c>
      <c r="E203" t="s">
        <v>91</v>
      </c>
      <c r="F203" t="s">
        <v>36</v>
      </c>
      <c r="G203" t="s">
        <v>68</v>
      </c>
      <c r="H203">
        <v>3</v>
      </c>
      <c r="I203" s="5">
        <v>79</v>
      </c>
      <c r="J203" t="s">
        <v>38</v>
      </c>
      <c r="K203" s="5">
        <v>237</v>
      </c>
    </row>
    <row r="204" spans="1:11" x14ac:dyDescent="0.2">
      <c r="A204" t="s">
        <v>418</v>
      </c>
      <c r="B204" s="4">
        <v>46082</v>
      </c>
      <c r="C204" t="s">
        <v>419</v>
      </c>
      <c r="D204" t="s">
        <v>47</v>
      </c>
      <c r="E204" t="s">
        <v>35</v>
      </c>
      <c r="F204" t="s">
        <v>36</v>
      </c>
      <c r="G204" t="s">
        <v>152</v>
      </c>
      <c r="H204">
        <v>2</v>
      </c>
      <c r="I204" s="5">
        <v>53.1</v>
      </c>
      <c r="J204" t="s">
        <v>38</v>
      </c>
      <c r="K204" s="5">
        <v>106.2</v>
      </c>
    </row>
    <row r="205" spans="1:11" x14ac:dyDescent="0.2">
      <c r="A205" t="s">
        <v>420</v>
      </c>
      <c r="B205" s="4">
        <v>46082</v>
      </c>
      <c r="C205" t="s">
        <v>421</v>
      </c>
      <c r="D205" t="s">
        <v>114</v>
      </c>
      <c r="E205" t="s">
        <v>42</v>
      </c>
      <c r="F205" t="s">
        <v>36</v>
      </c>
      <c r="G205" t="s">
        <v>37</v>
      </c>
      <c r="H205">
        <v>1</v>
      </c>
      <c r="I205" s="5">
        <v>35</v>
      </c>
      <c r="J205" t="s">
        <v>38</v>
      </c>
      <c r="K205" s="5">
        <v>35</v>
      </c>
    </row>
    <row r="206" spans="1:11" x14ac:dyDescent="0.2">
      <c r="A206" t="s">
        <v>422</v>
      </c>
      <c r="B206" s="4">
        <v>46083</v>
      </c>
      <c r="C206" t="s">
        <v>225</v>
      </c>
      <c r="D206" t="s">
        <v>114</v>
      </c>
      <c r="E206" t="s">
        <v>35</v>
      </c>
      <c r="F206" t="s">
        <v>43</v>
      </c>
      <c r="G206" t="s">
        <v>77</v>
      </c>
      <c r="H206">
        <v>1</v>
      </c>
      <c r="I206" s="5">
        <v>40.5</v>
      </c>
      <c r="J206" t="s">
        <v>38</v>
      </c>
      <c r="K206" s="5">
        <v>40.5</v>
      </c>
    </row>
    <row r="207" spans="1:11" x14ac:dyDescent="0.2">
      <c r="A207" t="s">
        <v>423</v>
      </c>
      <c r="B207" s="4">
        <v>46083</v>
      </c>
      <c r="C207" t="s">
        <v>424</v>
      </c>
      <c r="D207" t="s">
        <v>41</v>
      </c>
      <c r="E207" t="s">
        <v>42</v>
      </c>
      <c r="F207" t="s">
        <v>36</v>
      </c>
      <c r="G207" t="s">
        <v>85</v>
      </c>
      <c r="H207">
        <v>2</v>
      </c>
      <c r="I207" s="5">
        <v>80.099999999999994</v>
      </c>
      <c r="J207" t="s">
        <v>38</v>
      </c>
      <c r="K207" s="5">
        <v>160.19999999999999</v>
      </c>
    </row>
    <row r="208" spans="1:11" x14ac:dyDescent="0.2">
      <c r="A208" t="s">
        <v>425</v>
      </c>
      <c r="B208" s="4">
        <v>46083</v>
      </c>
      <c r="C208" t="s">
        <v>134</v>
      </c>
      <c r="D208" t="s">
        <v>47</v>
      </c>
      <c r="E208" t="s">
        <v>91</v>
      </c>
      <c r="F208" t="s">
        <v>36</v>
      </c>
      <c r="G208" t="s">
        <v>68</v>
      </c>
      <c r="H208">
        <v>1</v>
      </c>
      <c r="I208" s="5">
        <v>71.099999999999994</v>
      </c>
      <c r="J208" t="s">
        <v>38</v>
      </c>
      <c r="K208" s="5">
        <v>71.099999999999994</v>
      </c>
    </row>
    <row r="209" spans="1:11" x14ac:dyDescent="0.2">
      <c r="A209" t="s">
        <v>426</v>
      </c>
      <c r="B209" s="4">
        <v>46083</v>
      </c>
      <c r="C209" t="s">
        <v>63</v>
      </c>
      <c r="D209" t="s">
        <v>47</v>
      </c>
      <c r="E209" t="s">
        <v>42</v>
      </c>
      <c r="F209" t="s">
        <v>43</v>
      </c>
      <c r="G209" t="s">
        <v>48</v>
      </c>
      <c r="H209">
        <v>1</v>
      </c>
      <c r="I209" s="5">
        <v>179</v>
      </c>
      <c r="J209" t="s">
        <v>61</v>
      </c>
      <c r="K209" s="5">
        <v>179</v>
      </c>
    </row>
    <row r="210" spans="1:11" x14ac:dyDescent="0.2">
      <c r="A210" t="s">
        <v>427</v>
      </c>
      <c r="B210" s="4">
        <v>46083</v>
      </c>
      <c r="C210" t="s">
        <v>70</v>
      </c>
      <c r="D210" t="s">
        <v>41</v>
      </c>
      <c r="E210" t="s">
        <v>35</v>
      </c>
      <c r="F210" t="s">
        <v>43</v>
      </c>
      <c r="G210" t="s">
        <v>77</v>
      </c>
      <c r="H210">
        <v>1</v>
      </c>
      <c r="I210" s="5">
        <v>40.5</v>
      </c>
      <c r="J210" t="s">
        <v>38</v>
      </c>
      <c r="K210" s="5">
        <v>40.5</v>
      </c>
    </row>
    <row r="211" spans="1:11" x14ac:dyDescent="0.2">
      <c r="A211" t="s">
        <v>428</v>
      </c>
      <c r="B211" s="4">
        <v>46083</v>
      </c>
      <c r="C211" t="s">
        <v>79</v>
      </c>
      <c r="D211" t="s">
        <v>114</v>
      </c>
      <c r="E211" t="s">
        <v>42</v>
      </c>
      <c r="F211" t="s">
        <v>59</v>
      </c>
      <c r="G211" t="s">
        <v>111</v>
      </c>
      <c r="H211">
        <v>2</v>
      </c>
      <c r="I211" s="5">
        <v>75</v>
      </c>
      <c r="J211" t="s">
        <v>61</v>
      </c>
      <c r="K211" s="5">
        <v>150</v>
      </c>
    </row>
    <row r="212" spans="1:11" x14ac:dyDescent="0.2">
      <c r="A212" t="s">
        <v>429</v>
      </c>
      <c r="B212" s="4">
        <v>46084</v>
      </c>
      <c r="C212" t="s">
        <v>430</v>
      </c>
      <c r="D212" t="s">
        <v>47</v>
      </c>
      <c r="E212" t="s">
        <v>35</v>
      </c>
      <c r="F212" t="s">
        <v>59</v>
      </c>
      <c r="G212" t="s">
        <v>111</v>
      </c>
      <c r="H212">
        <v>1</v>
      </c>
      <c r="I212" s="5">
        <v>75</v>
      </c>
      <c r="J212" t="s">
        <v>38</v>
      </c>
      <c r="K212" s="5">
        <v>75</v>
      </c>
    </row>
    <row r="213" spans="1:11" x14ac:dyDescent="0.2">
      <c r="A213" t="s">
        <v>431</v>
      </c>
      <c r="B213" s="4">
        <v>46084</v>
      </c>
      <c r="C213" t="s">
        <v>432</v>
      </c>
      <c r="D213" t="s">
        <v>114</v>
      </c>
      <c r="E213" t="s">
        <v>35</v>
      </c>
      <c r="F213" t="s">
        <v>51</v>
      </c>
      <c r="G213" t="s">
        <v>119</v>
      </c>
      <c r="H213">
        <v>2</v>
      </c>
      <c r="I213" s="5">
        <v>27</v>
      </c>
      <c r="J213" t="s">
        <v>38</v>
      </c>
      <c r="K213" s="5">
        <v>54</v>
      </c>
    </row>
    <row r="214" spans="1:11" x14ac:dyDescent="0.2">
      <c r="A214" t="s">
        <v>433</v>
      </c>
      <c r="B214" s="4">
        <v>46084</v>
      </c>
      <c r="C214" t="s">
        <v>230</v>
      </c>
      <c r="D214" t="s">
        <v>58</v>
      </c>
      <c r="E214" t="s">
        <v>35</v>
      </c>
      <c r="F214" t="s">
        <v>43</v>
      </c>
      <c r="G214" t="s">
        <v>83</v>
      </c>
      <c r="H214">
        <v>1</v>
      </c>
      <c r="I214" s="5">
        <v>39</v>
      </c>
      <c r="J214" t="s">
        <v>65</v>
      </c>
      <c r="K214" s="5">
        <v>39</v>
      </c>
    </row>
    <row r="215" spans="1:11" x14ac:dyDescent="0.2">
      <c r="A215" t="s">
        <v>434</v>
      </c>
      <c r="B215" s="4">
        <v>46084</v>
      </c>
      <c r="C215" t="s">
        <v>361</v>
      </c>
      <c r="D215" t="s">
        <v>34</v>
      </c>
      <c r="E215" t="s">
        <v>42</v>
      </c>
      <c r="F215" t="s">
        <v>36</v>
      </c>
      <c r="G215" t="s">
        <v>37</v>
      </c>
      <c r="H215">
        <v>2</v>
      </c>
      <c r="I215" s="5">
        <v>36.75</v>
      </c>
      <c r="J215" t="s">
        <v>38</v>
      </c>
      <c r="K215" s="5">
        <v>73.5</v>
      </c>
    </row>
    <row r="216" spans="1:11" x14ac:dyDescent="0.2">
      <c r="A216" t="s">
        <v>435</v>
      </c>
      <c r="B216" s="4">
        <v>46084</v>
      </c>
      <c r="C216" t="s">
        <v>436</v>
      </c>
      <c r="D216" t="s">
        <v>47</v>
      </c>
      <c r="E216" t="s">
        <v>35</v>
      </c>
      <c r="F216" t="s">
        <v>59</v>
      </c>
      <c r="G216" t="s">
        <v>111</v>
      </c>
      <c r="H216">
        <v>4</v>
      </c>
      <c r="I216" s="5">
        <v>75</v>
      </c>
      <c r="J216" t="s">
        <v>38</v>
      </c>
      <c r="K216" s="5">
        <v>300</v>
      </c>
    </row>
    <row r="217" spans="1:11" x14ac:dyDescent="0.2">
      <c r="A217" t="s">
        <v>437</v>
      </c>
      <c r="B217" s="4">
        <v>46085</v>
      </c>
      <c r="C217" t="s">
        <v>182</v>
      </c>
      <c r="D217" t="s">
        <v>41</v>
      </c>
      <c r="E217" t="s">
        <v>91</v>
      </c>
      <c r="F217" t="s">
        <v>51</v>
      </c>
      <c r="G217" t="s">
        <v>119</v>
      </c>
      <c r="H217">
        <v>2</v>
      </c>
      <c r="I217" s="5">
        <v>30</v>
      </c>
      <c r="J217" t="s">
        <v>61</v>
      </c>
      <c r="K217" s="5">
        <v>60</v>
      </c>
    </row>
    <row r="218" spans="1:11" x14ac:dyDescent="0.2">
      <c r="A218" t="s">
        <v>438</v>
      </c>
      <c r="B218" s="4">
        <v>46085</v>
      </c>
      <c r="C218" t="s">
        <v>279</v>
      </c>
      <c r="D218" t="s">
        <v>47</v>
      </c>
      <c r="E218" t="s">
        <v>91</v>
      </c>
      <c r="F218" t="s">
        <v>71</v>
      </c>
      <c r="G218" t="s">
        <v>95</v>
      </c>
      <c r="H218">
        <v>1</v>
      </c>
      <c r="I218" s="5">
        <v>20</v>
      </c>
      <c r="J218" t="s">
        <v>61</v>
      </c>
      <c r="K218" s="5">
        <v>20</v>
      </c>
    </row>
    <row r="219" spans="1:11" x14ac:dyDescent="0.2">
      <c r="A219" t="s">
        <v>439</v>
      </c>
      <c r="B219" s="4">
        <v>46085</v>
      </c>
      <c r="C219" t="s">
        <v>405</v>
      </c>
      <c r="D219" t="s">
        <v>58</v>
      </c>
      <c r="E219" t="s">
        <v>35</v>
      </c>
      <c r="F219" t="s">
        <v>43</v>
      </c>
      <c r="G219" t="s">
        <v>142</v>
      </c>
      <c r="H219">
        <v>1</v>
      </c>
      <c r="I219" s="5">
        <v>32</v>
      </c>
      <c r="J219" t="s">
        <v>38</v>
      </c>
      <c r="K219" s="5">
        <v>32</v>
      </c>
    </row>
    <row r="220" spans="1:11" x14ac:dyDescent="0.2">
      <c r="A220" t="s">
        <v>440</v>
      </c>
      <c r="B220" s="4">
        <v>46086</v>
      </c>
      <c r="C220" t="s">
        <v>361</v>
      </c>
      <c r="D220" t="s">
        <v>34</v>
      </c>
      <c r="E220" t="s">
        <v>35</v>
      </c>
      <c r="F220" t="s">
        <v>51</v>
      </c>
      <c r="G220" t="s">
        <v>55</v>
      </c>
      <c r="H220">
        <v>3</v>
      </c>
      <c r="I220" s="5">
        <v>22</v>
      </c>
      <c r="J220" t="s">
        <v>38</v>
      </c>
      <c r="K220" s="5">
        <v>66</v>
      </c>
    </row>
    <row r="221" spans="1:11" x14ac:dyDescent="0.2">
      <c r="A221" t="s">
        <v>441</v>
      </c>
      <c r="B221" s="4">
        <v>46086</v>
      </c>
      <c r="C221" t="s">
        <v>408</v>
      </c>
      <c r="D221" t="s">
        <v>58</v>
      </c>
      <c r="E221" t="s">
        <v>42</v>
      </c>
      <c r="F221" t="s">
        <v>51</v>
      </c>
      <c r="G221" t="s">
        <v>119</v>
      </c>
      <c r="H221">
        <v>1</v>
      </c>
      <c r="I221" s="5">
        <v>30</v>
      </c>
      <c r="J221" t="s">
        <v>61</v>
      </c>
      <c r="K221" s="5">
        <v>30</v>
      </c>
    </row>
    <row r="222" spans="1:11" x14ac:dyDescent="0.2">
      <c r="A222" t="s">
        <v>442</v>
      </c>
      <c r="B222" s="4">
        <v>46086</v>
      </c>
      <c r="C222" t="s">
        <v>180</v>
      </c>
      <c r="D222" t="s">
        <v>47</v>
      </c>
      <c r="E222" t="s">
        <v>35</v>
      </c>
      <c r="F222" t="s">
        <v>59</v>
      </c>
      <c r="G222" t="s">
        <v>60</v>
      </c>
      <c r="H222">
        <v>1</v>
      </c>
      <c r="I222" s="5">
        <v>120</v>
      </c>
      <c r="J222" t="s">
        <v>38</v>
      </c>
      <c r="K222" s="5">
        <v>120</v>
      </c>
    </row>
    <row r="223" spans="1:11" x14ac:dyDescent="0.2">
      <c r="A223" t="s">
        <v>443</v>
      </c>
      <c r="B223" s="4">
        <v>46086</v>
      </c>
      <c r="C223" t="s">
        <v>444</v>
      </c>
      <c r="D223" t="s">
        <v>47</v>
      </c>
      <c r="E223" t="s">
        <v>35</v>
      </c>
      <c r="F223" t="s">
        <v>51</v>
      </c>
      <c r="G223" t="s">
        <v>52</v>
      </c>
      <c r="H223">
        <v>2</v>
      </c>
      <c r="I223" s="5">
        <v>40.5</v>
      </c>
      <c r="J223" t="s">
        <v>38</v>
      </c>
      <c r="K223" s="5">
        <v>81</v>
      </c>
    </row>
    <row r="224" spans="1:11" x14ac:dyDescent="0.2">
      <c r="A224" t="s">
        <v>445</v>
      </c>
      <c r="B224" s="4">
        <v>46087</v>
      </c>
      <c r="C224" t="s">
        <v>446</v>
      </c>
      <c r="D224" t="s">
        <v>34</v>
      </c>
      <c r="E224" t="s">
        <v>42</v>
      </c>
      <c r="F224" t="s">
        <v>43</v>
      </c>
      <c r="G224" t="s">
        <v>83</v>
      </c>
      <c r="H224">
        <v>1</v>
      </c>
      <c r="I224" s="5">
        <v>39</v>
      </c>
      <c r="J224" t="s">
        <v>61</v>
      </c>
      <c r="K224" s="5">
        <v>39</v>
      </c>
    </row>
    <row r="225" spans="1:11" x14ac:dyDescent="0.2">
      <c r="A225" t="s">
        <v>447</v>
      </c>
      <c r="B225" s="4">
        <v>46088</v>
      </c>
      <c r="C225" t="s">
        <v>279</v>
      </c>
      <c r="D225" t="s">
        <v>47</v>
      </c>
      <c r="E225" t="s">
        <v>42</v>
      </c>
      <c r="F225" t="s">
        <v>71</v>
      </c>
      <c r="G225" t="s">
        <v>72</v>
      </c>
      <c r="H225">
        <v>3</v>
      </c>
      <c r="I225" s="5">
        <v>49.5</v>
      </c>
      <c r="J225" t="s">
        <v>65</v>
      </c>
      <c r="K225" s="5">
        <v>148.5</v>
      </c>
    </row>
    <row r="226" spans="1:11" x14ac:dyDescent="0.2">
      <c r="A226" t="s">
        <v>448</v>
      </c>
      <c r="B226" s="4">
        <v>46088</v>
      </c>
      <c r="C226" t="s">
        <v>449</v>
      </c>
      <c r="D226" t="s">
        <v>41</v>
      </c>
      <c r="E226" t="s">
        <v>35</v>
      </c>
      <c r="F226" t="s">
        <v>71</v>
      </c>
      <c r="G226" t="s">
        <v>137</v>
      </c>
      <c r="H226">
        <v>3</v>
      </c>
      <c r="I226" s="5">
        <v>115.5</v>
      </c>
      <c r="J226" t="s">
        <v>65</v>
      </c>
      <c r="K226" s="5">
        <v>346.5</v>
      </c>
    </row>
    <row r="227" spans="1:11" x14ac:dyDescent="0.2">
      <c r="A227" t="s">
        <v>450</v>
      </c>
      <c r="B227" s="4">
        <v>46089</v>
      </c>
      <c r="C227" t="s">
        <v>451</v>
      </c>
      <c r="D227" t="s">
        <v>41</v>
      </c>
      <c r="E227" t="s">
        <v>91</v>
      </c>
      <c r="F227" t="s">
        <v>43</v>
      </c>
      <c r="G227" t="s">
        <v>142</v>
      </c>
      <c r="H227">
        <v>5</v>
      </c>
      <c r="I227" s="5">
        <v>33.6</v>
      </c>
      <c r="J227" t="s">
        <v>65</v>
      </c>
      <c r="K227" s="5">
        <v>168</v>
      </c>
    </row>
    <row r="228" spans="1:11" x14ac:dyDescent="0.2">
      <c r="A228" t="s">
        <v>452</v>
      </c>
      <c r="B228" s="4">
        <v>46089</v>
      </c>
      <c r="C228" t="s">
        <v>271</v>
      </c>
      <c r="D228" t="s">
        <v>114</v>
      </c>
      <c r="E228" t="s">
        <v>35</v>
      </c>
      <c r="F228" t="s">
        <v>71</v>
      </c>
      <c r="G228" t="s">
        <v>95</v>
      </c>
      <c r="H228">
        <v>2</v>
      </c>
      <c r="I228" s="5">
        <v>20</v>
      </c>
      <c r="J228" t="s">
        <v>38</v>
      </c>
      <c r="K228" s="5">
        <v>40</v>
      </c>
    </row>
    <row r="229" spans="1:11" x14ac:dyDescent="0.2">
      <c r="A229" t="s">
        <v>453</v>
      </c>
      <c r="B229" s="4">
        <v>46089</v>
      </c>
      <c r="C229" t="s">
        <v>90</v>
      </c>
      <c r="D229" t="s">
        <v>41</v>
      </c>
      <c r="E229" t="s">
        <v>42</v>
      </c>
      <c r="F229" t="s">
        <v>36</v>
      </c>
      <c r="G229" t="s">
        <v>122</v>
      </c>
      <c r="H229">
        <v>2</v>
      </c>
      <c r="I229" s="5">
        <v>25</v>
      </c>
      <c r="J229" t="s">
        <v>61</v>
      </c>
      <c r="K229" s="5">
        <v>50</v>
      </c>
    </row>
    <row r="230" spans="1:11" x14ac:dyDescent="0.2">
      <c r="A230" t="s">
        <v>454</v>
      </c>
      <c r="B230" s="4">
        <v>46090</v>
      </c>
      <c r="C230" t="s">
        <v>189</v>
      </c>
      <c r="D230" t="s">
        <v>34</v>
      </c>
      <c r="E230" t="s">
        <v>42</v>
      </c>
      <c r="F230" t="s">
        <v>59</v>
      </c>
      <c r="G230" t="s">
        <v>106</v>
      </c>
      <c r="H230">
        <v>1</v>
      </c>
      <c r="I230" s="5">
        <v>29.4</v>
      </c>
      <c r="J230" t="s">
        <v>38</v>
      </c>
      <c r="K230" s="5">
        <v>29.4</v>
      </c>
    </row>
    <row r="231" spans="1:11" x14ac:dyDescent="0.2">
      <c r="A231" t="s">
        <v>455</v>
      </c>
      <c r="B231" s="4">
        <v>46090</v>
      </c>
      <c r="C231" t="s">
        <v>139</v>
      </c>
      <c r="D231" t="s">
        <v>58</v>
      </c>
      <c r="E231" t="s">
        <v>91</v>
      </c>
      <c r="F231" t="s">
        <v>36</v>
      </c>
      <c r="G231" t="s">
        <v>152</v>
      </c>
      <c r="H231">
        <v>1</v>
      </c>
      <c r="I231" s="5">
        <v>59</v>
      </c>
      <c r="J231" t="s">
        <v>38</v>
      </c>
      <c r="K231" s="5">
        <v>59</v>
      </c>
    </row>
    <row r="232" spans="1:11" x14ac:dyDescent="0.2">
      <c r="A232" t="s">
        <v>456</v>
      </c>
      <c r="B232" s="4">
        <v>46091</v>
      </c>
      <c r="C232" t="s">
        <v>352</v>
      </c>
      <c r="D232" t="s">
        <v>114</v>
      </c>
      <c r="E232" t="s">
        <v>42</v>
      </c>
      <c r="F232" t="s">
        <v>51</v>
      </c>
      <c r="G232" t="s">
        <v>99</v>
      </c>
      <c r="H232">
        <v>2</v>
      </c>
      <c r="I232" s="5">
        <v>18.899999999999999</v>
      </c>
      <c r="J232" t="s">
        <v>61</v>
      </c>
      <c r="K232" s="5">
        <v>37.799999999999997</v>
      </c>
    </row>
    <row r="233" spans="1:11" x14ac:dyDescent="0.2">
      <c r="A233" t="s">
        <v>457</v>
      </c>
      <c r="B233" s="4">
        <v>46092</v>
      </c>
      <c r="C233" t="s">
        <v>163</v>
      </c>
      <c r="D233" t="s">
        <v>34</v>
      </c>
      <c r="E233" t="s">
        <v>35</v>
      </c>
      <c r="F233" t="s">
        <v>43</v>
      </c>
      <c r="G233" t="s">
        <v>48</v>
      </c>
      <c r="H233">
        <v>1</v>
      </c>
      <c r="I233" s="5">
        <v>161.1</v>
      </c>
      <c r="J233" t="s">
        <v>38</v>
      </c>
      <c r="K233" s="5">
        <v>161.1</v>
      </c>
    </row>
    <row r="234" spans="1:11" x14ac:dyDescent="0.2">
      <c r="A234" t="s">
        <v>458</v>
      </c>
      <c r="B234" s="4">
        <v>46092</v>
      </c>
      <c r="C234" t="s">
        <v>459</v>
      </c>
      <c r="D234" t="s">
        <v>114</v>
      </c>
      <c r="E234" t="s">
        <v>35</v>
      </c>
      <c r="F234" t="s">
        <v>51</v>
      </c>
      <c r="G234" t="s">
        <v>55</v>
      </c>
      <c r="H234">
        <v>3</v>
      </c>
      <c r="I234" s="5">
        <v>22</v>
      </c>
      <c r="J234" t="s">
        <v>38</v>
      </c>
      <c r="K234" s="5">
        <v>66</v>
      </c>
    </row>
    <row r="235" spans="1:11" x14ac:dyDescent="0.2">
      <c r="A235" t="s">
        <v>460</v>
      </c>
      <c r="B235" s="4">
        <v>46092</v>
      </c>
      <c r="C235" t="s">
        <v>461</v>
      </c>
      <c r="D235" t="s">
        <v>41</v>
      </c>
      <c r="E235" t="s">
        <v>91</v>
      </c>
      <c r="F235" t="s">
        <v>59</v>
      </c>
      <c r="G235" t="s">
        <v>60</v>
      </c>
      <c r="H235">
        <v>1</v>
      </c>
      <c r="I235" s="5">
        <v>126</v>
      </c>
      <c r="J235" t="s">
        <v>38</v>
      </c>
      <c r="K235" s="5">
        <v>126</v>
      </c>
    </row>
    <row r="236" spans="1:11" x14ac:dyDescent="0.2">
      <c r="A236" t="s">
        <v>462</v>
      </c>
      <c r="B236" s="4">
        <v>46092</v>
      </c>
      <c r="C236" t="s">
        <v>463</v>
      </c>
      <c r="D236" t="s">
        <v>47</v>
      </c>
      <c r="E236" t="s">
        <v>35</v>
      </c>
      <c r="F236" t="s">
        <v>71</v>
      </c>
      <c r="G236" t="s">
        <v>88</v>
      </c>
      <c r="H236">
        <v>2</v>
      </c>
      <c r="I236" s="5">
        <v>67.5</v>
      </c>
      <c r="J236" t="s">
        <v>61</v>
      </c>
      <c r="K236" s="5">
        <v>135</v>
      </c>
    </row>
    <row r="237" spans="1:11" x14ac:dyDescent="0.2">
      <c r="A237" t="s">
        <v>464</v>
      </c>
      <c r="B237" s="4">
        <v>46092</v>
      </c>
      <c r="C237" t="s">
        <v>465</v>
      </c>
      <c r="D237" t="s">
        <v>58</v>
      </c>
      <c r="E237" t="s">
        <v>35</v>
      </c>
      <c r="F237" t="s">
        <v>59</v>
      </c>
      <c r="G237" t="s">
        <v>106</v>
      </c>
      <c r="H237">
        <v>1</v>
      </c>
      <c r="I237" s="5">
        <v>28</v>
      </c>
      <c r="J237" t="s">
        <v>61</v>
      </c>
      <c r="K237" s="5">
        <v>28</v>
      </c>
    </row>
    <row r="238" spans="1:11" x14ac:dyDescent="0.2">
      <c r="A238" t="s">
        <v>466</v>
      </c>
      <c r="B238" s="4">
        <v>46092</v>
      </c>
      <c r="C238" t="s">
        <v>467</v>
      </c>
      <c r="D238" t="s">
        <v>41</v>
      </c>
      <c r="E238" t="s">
        <v>35</v>
      </c>
      <c r="F238" t="s">
        <v>71</v>
      </c>
      <c r="G238" t="s">
        <v>72</v>
      </c>
      <c r="H238">
        <v>1</v>
      </c>
      <c r="I238" s="5">
        <v>55</v>
      </c>
      <c r="J238" t="s">
        <v>38</v>
      </c>
      <c r="K238" s="5">
        <v>55</v>
      </c>
    </row>
    <row r="239" spans="1:11" x14ac:dyDescent="0.2">
      <c r="A239" t="s">
        <v>468</v>
      </c>
      <c r="B239" s="4">
        <v>46092</v>
      </c>
      <c r="C239" t="s">
        <v>178</v>
      </c>
      <c r="D239" t="s">
        <v>58</v>
      </c>
      <c r="E239" t="s">
        <v>35</v>
      </c>
      <c r="F239" t="s">
        <v>71</v>
      </c>
      <c r="G239" t="s">
        <v>72</v>
      </c>
      <c r="H239">
        <v>1</v>
      </c>
      <c r="I239" s="5">
        <v>55</v>
      </c>
      <c r="J239" t="s">
        <v>38</v>
      </c>
      <c r="K239" s="5">
        <v>55</v>
      </c>
    </row>
    <row r="240" spans="1:11" x14ac:dyDescent="0.2">
      <c r="A240" t="s">
        <v>469</v>
      </c>
      <c r="B240" s="4">
        <v>46093</v>
      </c>
      <c r="C240" t="s">
        <v>271</v>
      </c>
      <c r="D240" t="s">
        <v>58</v>
      </c>
      <c r="E240" t="s">
        <v>42</v>
      </c>
      <c r="F240" t="s">
        <v>51</v>
      </c>
      <c r="G240" t="s">
        <v>99</v>
      </c>
      <c r="H240">
        <v>1</v>
      </c>
      <c r="I240" s="5">
        <v>18</v>
      </c>
      <c r="J240" t="s">
        <v>38</v>
      </c>
      <c r="K240" s="5">
        <v>18</v>
      </c>
    </row>
    <row r="241" spans="1:11" x14ac:dyDescent="0.2">
      <c r="A241" t="s">
        <v>470</v>
      </c>
      <c r="B241" s="4">
        <v>46093</v>
      </c>
      <c r="C241" t="s">
        <v>314</v>
      </c>
      <c r="D241" t="s">
        <v>58</v>
      </c>
      <c r="E241" t="s">
        <v>42</v>
      </c>
      <c r="F241" t="s">
        <v>36</v>
      </c>
      <c r="G241" t="s">
        <v>85</v>
      </c>
      <c r="H241">
        <v>3</v>
      </c>
      <c r="I241" s="5">
        <v>93.45</v>
      </c>
      <c r="J241" t="s">
        <v>38</v>
      </c>
      <c r="K241" s="5">
        <v>280.35000000000002</v>
      </c>
    </row>
    <row r="242" spans="1:11" x14ac:dyDescent="0.2">
      <c r="A242" t="s">
        <v>471</v>
      </c>
      <c r="B242" s="4">
        <v>46094</v>
      </c>
      <c r="C242" t="s">
        <v>472</v>
      </c>
      <c r="D242" t="s">
        <v>47</v>
      </c>
      <c r="E242" t="s">
        <v>35</v>
      </c>
      <c r="F242" t="s">
        <v>36</v>
      </c>
      <c r="G242" t="s">
        <v>37</v>
      </c>
      <c r="H242">
        <v>1</v>
      </c>
      <c r="I242" s="5">
        <v>31.5</v>
      </c>
      <c r="J242" t="s">
        <v>38</v>
      </c>
      <c r="K242" s="5">
        <v>31.5</v>
      </c>
    </row>
    <row r="243" spans="1:11" x14ac:dyDescent="0.2">
      <c r="A243" t="s">
        <v>473</v>
      </c>
      <c r="B243" s="4">
        <v>46094</v>
      </c>
      <c r="C243" t="s">
        <v>238</v>
      </c>
      <c r="D243" t="s">
        <v>41</v>
      </c>
      <c r="E243" t="s">
        <v>91</v>
      </c>
      <c r="F243" t="s">
        <v>71</v>
      </c>
      <c r="G243" t="s">
        <v>95</v>
      </c>
      <c r="H243">
        <v>1</v>
      </c>
      <c r="I243" s="5">
        <v>21</v>
      </c>
      <c r="J243" t="s">
        <v>38</v>
      </c>
      <c r="K243" s="5">
        <v>21</v>
      </c>
    </row>
    <row r="244" spans="1:11" x14ac:dyDescent="0.2">
      <c r="A244" t="s">
        <v>474</v>
      </c>
      <c r="B244" s="4">
        <v>46094</v>
      </c>
      <c r="C244" t="s">
        <v>475</v>
      </c>
      <c r="D244" t="s">
        <v>58</v>
      </c>
      <c r="E244" t="s">
        <v>91</v>
      </c>
      <c r="F244" t="s">
        <v>43</v>
      </c>
      <c r="G244" t="s">
        <v>48</v>
      </c>
      <c r="H244">
        <v>4</v>
      </c>
      <c r="I244" s="5">
        <v>179</v>
      </c>
      <c r="J244" t="s">
        <v>61</v>
      </c>
      <c r="K244" s="5">
        <v>716</v>
      </c>
    </row>
    <row r="245" spans="1:11" x14ac:dyDescent="0.2">
      <c r="A245" t="s">
        <v>476</v>
      </c>
      <c r="B245" s="4">
        <v>46095</v>
      </c>
      <c r="C245" t="s">
        <v>367</v>
      </c>
      <c r="D245" t="s">
        <v>47</v>
      </c>
      <c r="E245" t="s">
        <v>35</v>
      </c>
      <c r="F245" t="s">
        <v>36</v>
      </c>
      <c r="G245" t="s">
        <v>85</v>
      </c>
      <c r="H245">
        <v>4</v>
      </c>
      <c r="I245" s="5">
        <v>89</v>
      </c>
      <c r="J245" t="s">
        <v>61</v>
      </c>
      <c r="K245" s="5">
        <v>356</v>
      </c>
    </row>
    <row r="246" spans="1:11" x14ac:dyDescent="0.2">
      <c r="A246" t="s">
        <v>477</v>
      </c>
      <c r="B246" s="4">
        <v>46095</v>
      </c>
      <c r="C246" t="s">
        <v>180</v>
      </c>
      <c r="D246" t="s">
        <v>58</v>
      </c>
      <c r="E246" t="s">
        <v>35</v>
      </c>
      <c r="F246" t="s">
        <v>43</v>
      </c>
      <c r="G246" t="s">
        <v>44</v>
      </c>
      <c r="H246">
        <v>2</v>
      </c>
      <c r="I246" s="5">
        <v>99</v>
      </c>
      <c r="J246" t="s">
        <v>38</v>
      </c>
      <c r="K246" s="5">
        <v>198</v>
      </c>
    </row>
    <row r="247" spans="1:11" x14ac:dyDescent="0.2">
      <c r="A247" t="s">
        <v>478</v>
      </c>
      <c r="B247" s="4">
        <v>46095</v>
      </c>
      <c r="C247" t="s">
        <v>167</v>
      </c>
      <c r="D247" t="s">
        <v>58</v>
      </c>
      <c r="E247" t="s">
        <v>91</v>
      </c>
      <c r="F247" t="s">
        <v>36</v>
      </c>
      <c r="G247" t="s">
        <v>122</v>
      </c>
      <c r="H247">
        <v>2</v>
      </c>
      <c r="I247" s="5">
        <v>22.5</v>
      </c>
      <c r="J247" t="s">
        <v>61</v>
      </c>
      <c r="K247" s="5">
        <v>45</v>
      </c>
    </row>
    <row r="248" spans="1:11" x14ac:dyDescent="0.2">
      <c r="A248" t="s">
        <v>479</v>
      </c>
      <c r="B248" s="4">
        <v>46095</v>
      </c>
      <c r="C248" t="s">
        <v>271</v>
      </c>
      <c r="D248" t="s">
        <v>41</v>
      </c>
      <c r="E248" t="s">
        <v>91</v>
      </c>
      <c r="F248" t="s">
        <v>51</v>
      </c>
      <c r="G248" t="s">
        <v>52</v>
      </c>
      <c r="H248">
        <v>2</v>
      </c>
      <c r="I248" s="5">
        <v>45</v>
      </c>
      <c r="J248" t="s">
        <v>38</v>
      </c>
      <c r="K248" s="5">
        <v>90</v>
      </c>
    </row>
    <row r="249" spans="1:11" x14ac:dyDescent="0.2">
      <c r="A249" t="s">
        <v>480</v>
      </c>
      <c r="B249" s="4">
        <v>46096</v>
      </c>
      <c r="C249" t="s">
        <v>169</v>
      </c>
      <c r="D249" t="s">
        <v>41</v>
      </c>
      <c r="E249" t="s">
        <v>42</v>
      </c>
      <c r="F249" t="s">
        <v>43</v>
      </c>
      <c r="G249" t="s">
        <v>44</v>
      </c>
      <c r="H249">
        <v>4</v>
      </c>
      <c r="I249" s="5">
        <v>99</v>
      </c>
      <c r="J249" t="s">
        <v>38</v>
      </c>
      <c r="K249" s="5">
        <v>396</v>
      </c>
    </row>
    <row r="250" spans="1:11" x14ac:dyDescent="0.2">
      <c r="A250" t="s">
        <v>481</v>
      </c>
      <c r="B250" s="4">
        <v>46097</v>
      </c>
      <c r="C250" t="s">
        <v>129</v>
      </c>
      <c r="D250" t="s">
        <v>41</v>
      </c>
      <c r="E250" t="s">
        <v>35</v>
      </c>
      <c r="F250" t="s">
        <v>36</v>
      </c>
      <c r="G250" t="s">
        <v>37</v>
      </c>
      <c r="H250">
        <v>1</v>
      </c>
      <c r="I250" s="5">
        <v>35</v>
      </c>
      <c r="J250" t="s">
        <v>38</v>
      </c>
      <c r="K250" s="5">
        <v>35</v>
      </c>
    </row>
    <row r="251" spans="1:11" x14ac:dyDescent="0.2">
      <c r="A251" t="s">
        <v>482</v>
      </c>
      <c r="B251" s="4">
        <v>46097</v>
      </c>
      <c r="C251" t="s">
        <v>483</v>
      </c>
      <c r="D251" t="s">
        <v>41</v>
      </c>
      <c r="E251" t="s">
        <v>91</v>
      </c>
      <c r="F251" t="s">
        <v>59</v>
      </c>
      <c r="G251" t="s">
        <v>64</v>
      </c>
      <c r="H251">
        <v>4</v>
      </c>
      <c r="I251" s="5">
        <v>18.899999999999999</v>
      </c>
      <c r="J251" t="s">
        <v>61</v>
      </c>
      <c r="K251" s="5">
        <v>75.599999999999994</v>
      </c>
    </row>
    <row r="252" spans="1:11" x14ac:dyDescent="0.2">
      <c r="A252" t="s">
        <v>484</v>
      </c>
      <c r="B252" s="4">
        <v>46098</v>
      </c>
      <c r="C252" t="s">
        <v>485</v>
      </c>
      <c r="D252" t="s">
        <v>47</v>
      </c>
      <c r="E252" t="s">
        <v>35</v>
      </c>
      <c r="F252" t="s">
        <v>71</v>
      </c>
      <c r="G252" t="s">
        <v>72</v>
      </c>
      <c r="H252">
        <v>3</v>
      </c>
      <c r="I252" s="5">
        <v>49.5</v>
      </c>
      <c r="J252" t="s">
        <v>38</v>
      </c>
      <c r="K252" s="5">
        <v>148.5</v>
      </c>
    </row>
    <row r="253" spans="1:11" x14ac:dyDescent="0.2">
      <c r="A253" t="s">
        <v>486</v>
      </c>
      <c r="B253" s="4">
        <v>46098</v>
      </c>
      <c r="C253" t="s">
        <v>154</v>
      </c>
      <c r="D253" t="s">
        <v>58</v>
      </c>
      <c r="E253" t="s">
        <v>35</v>
      </c>
      <c r="F253" t="s">
        <v>43</v>
      </c>
      <c r="G253" t="s">
        <v>77</v>
      </c>
      <c r="H253">
        <v>4</v>
      </c>
      <c r="I253" s="5">
        <v>45</v>
      </c>
      <c r="J253" t="s">
        <v>38</v>
      </c>
      <c r="K253" s="5">
        <v>180</v>
      </c>
    </row>
    <row r="254" spans="1:11" x14ac:dyDescent="0.2">
      <c r="A254" t="s">
        <v>487</v>
      </c>
      <c r="B254" s="4">
        <v>46098</v>
      </c>
      <c r="C254" t="s">
        <v>318</v>
      </c>
      <c r="D254" t="s">
        <v>47</v>
      </c>
      <c r="E254" t="s">
        <v>35</v>
      </c>
      <c r="F254" t="s">
        <v>43</v>
      </c>
      <c r="G254" t="s">
        <v>142</v>
      </c>
      <c r="H254">
        <v>2</v>
      </c>
      <c r="I254" s="5">
        <v>32</v>
      </c>
      <c r="J254" t="s">
        <v>38</v>
      </c>
      <c r="K254" s="5">
        <v>64</v>
      </c>
    </row>
    <row r="255" spans="1:11" x14ac:dyDescent="0.2">
      <c r="A255" t="s">
        <v>488</v>
      </c>
      <c r="B255" s="4">
        <v>46099</v>
      </c>
      <c r="C255" t="s">
        <v>250</v>
      </c>
      <c r="D255" t="s">
        <v>58</v>
      </c>
      <c r="E255" t="s">
        <v>35</v>
      </c>
      <c r="F255" t="s">
        <v>71</v>
      </c>
      <c r="G255" t="s">
        <v>92</v>
      </c>
      <c r="H255">
        <v>1</v>
      </c>
      <c r="I255" s="5">
        <v>65</v>
      </c>
      <c r="J255" t="s">
        <v>38</v>
      </c>
      <c r="K255" s="5">
        <v>65</v>
      </c>
    </row>
    <row r="256" spans="1:11" x14ac:dyDescent="0.2">
      <c r="A256" t="s">
        <v>489</v>
      </c>
      <c r="B256" s="4">
        <v>46099</v>
      </c>
      <c r="C256" t="s">
        <v>263</v>
      </c>
      <c r="D256" t="s">
        <v>41</v>
      </c>
      <c r="E256" t="s">
        <v>42</v>
      </c>
      <c r="F256" t="s">
        <v>51</v>
      </c>
      <c r="G256" t="s">
        <v>55</v>
      </c>
      <c r="H256">
        <v>2</v>
      </c>
      <c r="I256" s="5">
        <v>19.8</v>
      </c>
      <c r="J256" t="s">
        <v>38</v>
      </c>
      <c r="K256" s="5">
        <v>39.6</v>
      </c>
    </row>
    <row r="257" spans="1:11" x14ac:dyDescent="0.2">
      <c r="A257" t="s">
        <v>490</v>
      </c>
      <c r="B257" s="4">
        <v>46099</v>
      </c>
      <c r="C257" t="s">
        <v>399</v>
      </c>
      <c r="D257" t="s">
        <v>47</v>
      </c>
      <c r="E257" t="s">
        <v>42</v>
      </c>
      <c r="F257" t="s">
        <v>71</v>
      </c>
      <c r="G257" t="s">
        <v>92</v>
      </c>
      <c r="H257">
        <v>1</v>
      </c>
      <c r="I257" s="5">
        <v>68.25</v>
      </c>
      <c r="J257" t="s">
        <v>38</v>
      </c>
      <c r="K257" s="5">
        <v>68.25</v>
      </c>
    </row>
    <row r="258" spans="1:11" x14ac:dyDescent="0.2">
      <c r="A258" t="s">
        <v>491</v>
      </c>
      <c r="B258" s="4">
        <v>46100</v>
      </c>
      <c r="C258" t="s">
        <v>129</v>
      </c>
      <c r="D258" t="s">
        <v>41</v>
      </c>
      <c r="E258" t="s">
        <v>35</v>
      </c>
      <c r="F258" t="s">
        <v>71</v>
      </c>
      <c r="G258" t="s">
        <v>137</v>
      </c>
      <c r="H258">
        <v>1</v>
      </c>
      <c r="I258" s="5">
        <v>110</v>
      </c>
      <c r="J258" t="s">
        <v>61</v>
      </c>
      <c r="K258" s="5">
        <v>110</v>
      </c>
    </row>
    <row r="259" spans="1:11" x14ac:dyDescent="0.2">
      <c r="A259" t="s">
        <v>492</v>
      </c>
      <c r="B259" s="4">
        <v>46100</v>
      </c>
      <c r="C259" t="s">
        <v>392</v>
      </c>
      <c r="D259" t="s">
        <v>47</v>
      </c>
      <c r="E259" t="s">
        <v>35</v>
      </c>
      <c r="F259" t="s">
        <v>71</v>
      </c>
      <c r="G259" t="s">
        <v>72</v>
      </c>
      <c r="H259">
        <v>5</v>
      </c>
      <c r="I259" s="5">
        <v>55</v>
      </c>
      <c r="J259" t="s">
        <v>38</v>
      </c>
      <c r="K259" s="5">
        <v>275</v>
      </c>
    </row>
    <row r="260" spans="1:11" x14ac:dyDescent="0.2">
      <c r="A260" t="s">
        <v>493</v>
      </c>
      <c r="B260" s="4">
        <v>46100</v>
      </c>
      <c r="C260" t="s">
        <v>163</v>
      </c>
      <c r="D260" t="s">
        <v>34</v>
      </c>
      <c r="E260" t="s">
        <v>35</v>
      </c>
      <c r="F260" t="s">
        <v>51</v>
      </c>
      <c r="G260" t="s">
        <v>155</v>
      </c>
      <c r="H260">
        <v>1</v>
      </c>
      <c r="I260" s="5">
        <v>60</v>
      </c>
      <c r="J260" t="s">
        <v>38</v>
      </c>
      <c r="K260" s="5">
        <v>60</v>
      </c>
    </row>
    <row r="261" spans="1:11" x14ac:dyDescent="0.2">
      <c r="A261" t="s">
        <v>494</v>
      </c>
      <c r="B261" s="4">
        <v>46101</v>
      </c>
      <c r="C261" t="s">
        <v>485</v>
      </c>
      <c r="D261" t="s">
        <v>47</v>
      </c>
      <c r="E261" t="s">
        <v>91</v>
      </c>
      <c r="F261" t="s">
        <v>43</v>
      </c>
      <c r="G261" t="s">
        <v>44</v>
      </c>
      <c r="H261">
        <v>3</v>
      </c>
      <c r="I261" s="5">
        <v>103.95</v>
      </c>
      <c r="J261" t="s">
        <v>38</v>
      </c>
      <c r="K261" s="5">
        <v>311.85000000000002</v>
      </c>
    </row>
    <row r="262" spans="1:11" x14ac:dyDescent="0.2">
      <c r="A262" t="s">
        <v>495</v>
      </c>
      <c r="B262" s="4">
        <v>46101</v>
      </c>
      <c r="C262" t="s">
        <v>496</v>
      </c>
      <c r="D262" t="s">
        <v>47</v>
      </c>
      <c r="E262" t="s">
        <v>35</v>
      </c>
      <c r="F262" t="s">
        <v>71</v>
      </c>
      <c r="G262" t="s">
        <v>92</v>
      </c>
      <c r="H262">
        <v>1</v>
      </c>
      <c r="I262" s="5">
        <v>65</v>
      </c>
      <c r="J262" t="s">
        <v>38</v>
      </c>
      <c r="K262" s="5">
        <v>65</v>
      </c>
    </row>
    <row r="263" spans="1:11" x14ac:dyDescent="0.2">
      <c r="A263" t="s">
        <v>497</v>
      </c>
      <c r="B263" s="4">
        <v>46101</v>
      </c>
      <c r="C263" t="s">
        <v>498</v>
      </c>
      <c r="D263" t="s">
        <v>47</v>
      </c>
      <c r="E263" t="s">
        <v>91</v>
      </c>
      <c r="F263" t="s">
        <v>71</v>
      </c>
      <c r="G263" t="s">
        <v>92</v>
      </c>
      <c r="H263">
        <v>1</v>
      </c>
      <c r="I263" s="5">
        <v>68.25</v>
      </c>
      <c r="J263" t="s">
        <v>38</v>
      </c>
      <c r="K263" s="5">
        <v>68.25</v>
      </c>
    </row>
    <row r="264" spans="1:11" x14ac:dyDescent="0.2">
      <c r="A264" t="s">
        <v>499</v>
      </c>
      <c r="B264" s="4">
        <v>46102</v>
      </c>
      <c r="C264" t="s">
        <v>343</v>
      </c>
      <c r="D264" t="s">
        <v>41</v>
      </c>
      <c r="E264" t="s">
        <v>35</v>
      </c>
      <c r="F264" t="s">
        <v>71</v>
      </c>
      <c r="G264" t="s">
        <v>72</v>
      </c>
      <c r="H264">
        <v>4</v>
      </c>
      <c r="I264" s="5">
        <v>55</v>
      </c>
      <c r="J264" t="s">
        <v>38</v>
      </c>
      <c r="K264" s="5">
        <v>220</v>
      </c>
    </row>
    <row r="265" spans="1:11" x14ac:dyDescent="0.2">
      <c r="A265" t="s">
        <v>500</v>
      </c>
      <c r="B265" s="4">
        <v>46102</v>
      </c>
      <c r="C265" t="s">
        <v>501</v>
      </c>
      <c r="D265" t="s">
        <v>47</v>
      </c>
      <c r="E265" t="s">
        <v>42</v>
      </c>
      <c r="F265" t="s">
        <v>59</v>
      </c>
      <c r="G265" t="s">
        <v>111</v>
      </c>
      <c r="H265">
        <v>2</v>
      </c>
      <c r="I265" s="5">
        <v>75</v>
      </c>
      <c r="J265" t="s">
        <v>38</v>
      </c>
      <c r="K265" s="5">
        <v>150</v>
      </c>
    </row>
    <row r="266" spans="1:11" x14ac:dyDescent="0.2">
      <c r="A266" t="s">
        <v>502</v>
      </c>
      <c r="B266" s="4">
        <v>46102</v>
      </c>
      <c r="C266" t="s">
        <v>503</v>
      </c>
      <c r="D266" t="s">
        <v>47</v>
      </c>
      <c r="E266" t="s">
        <v>35</v>
      </c>
      <c r="F266" t="s">
        <v>43</v>
      </c>
      <c r="G266" t="s">
        <v>44</v>
      </c>
      <c r="H266">
        <v>2</v>
      </c>
      <c r="I266" s="5">
        <v>99</v>
      </c>
      <c r="J266" t="s">
        <v>38</v>
      </c>
      <c r="K266" s="5">
        <v>198</v>
      </c>
    </row>
    <row r="267" spans="1:11" x14ac:dyDescent="0.2">
      <c r="A267" t="s">
        <v>504</v>
      </c>
      <c r="B267" s="4">
        <v>46103</v>
      </c>
      <c r="C267" t="s">
        <v>505</v>
      </c>
      <c r="D267" t="s">
        <v>58</v>
      </c>
      <c r="E267" t="s">
        <v>35</v>
      </c>
      <c r="F267" t="s">
        <v>43</v>
      </c>
      <c r="G267" t="s">
        <v>142</v>
      </c>
      <c r="H267">
        <v>1</v>
      </c>
      <c r="I267" s="5">
        <v>28.8</v>
      </c>
      <c r="J267" t="s">
        <v>38</v>
      </c>
      <c r="K267" s="5">
        <v>28.8</v>
      </c>
    </row>
    <row r="268" spans="1:11" x14ac:dyDescent="0.2">
      <c r="A268" t="s">
        <v>506</v>
      </c>
      <c r="B268" s="4">
        <v>46103</v>
      </c>
      <c r="C268" t="s">
        <v>507</v>
      </c>
      <c r="D268" t="s">
        <v>114</v>
      </c>
      <c r="E268" t="s">
        <v>91</v>
      </c>
      <c r="F268" t="s">
        <v>59</v>
      </c>
      <c r="G268" t="s">
        <v>111</v>
      </c>
      <c r="H268">
        <v>2</v>
      </c>
      <c r="I268" s="5">
        <v>78.75</v>
      </c>
      <c r="J268" t="s">
        <v>38</v>
      </c>
      <c r="K268" s="5">
        <v>157.5</v>
      </c>
    </row>
    <row r="269" spans="1:11" x14ac:dyDescent="0.2">
      <c r="A269" t="s">
        <v>508</v>
      </c>
      <c r="B269" s="4">
        <v>46103</v>
      </c>
      <c r="C269" t="s">
        <v>436</v>
      </c>
      <c r="D269" t="s">
        <v>47</v>
      </c>
      <c r="E269" t="s">
        <v>91</v>
      </c>
      <c r="F269" t="s">
        <v>36</v>
      </c>
      <c r="G269" t="s">
        <v>152</v>
      </c>
      <c r="H269">
        <v>1</v>
      </c>
      <c r="I269" s="5">
        <v>59</v>
      </c>
      <c r="J269" t="s">
        <v>38</v>
      </c>
      <c r="K269" s="5">
        <v>59</v>
      </c>
    </row>
    <row r="270" spans="1:11" x14ac:dyDescent="0.2">
      <c r="A270" t="s">
        <v>509</v>
      </c>
      <c r="B270" s="4">
        <v>46103</v>
      </c>
      <c r="C270" t="s">
        <v>303</v>
      </c>
      <c r="D270" t="s">
        <v>114</v>
      </c>
      <c r="E270" t="s">
        <v>42</v>
      </c>
      <c r="F270" t="s">
        <v>59</v>
      </c>
      <c r="G270" t="s">
        <v>80</v>
      </c>
      <c r="H270">
        <v>2</v>
      </c>
      <c r="I270" s="5">
        <v>35</v>
      </c>
      <c r="J270" t="s">
        <v>61</v>
      </c>
      <c r="K270" s="5">
        <v>70</v>
      </c>
    </row>
    <row r="271" spans="1:11" x14ac:dyDescent="0.2">
      <c r="A271" t="s">
        <v>510</v>
      </c>
      <c r="B271" s="4">
        <v>46104</v>
      </c>
      <c r="C271" t="s">
        <v>507</v>
      </c>
      <c r="D271" t="s">
        <v>34</v>
      </c>
      <c r="E271" t="s">
        <v>35</v>
      </c>
      <c r="F271" t="s">
        <v>51</v>
      </c>
      <c r="G271" t="s">
        <v>155</v>
      </c>
      <c r="H271">
        <v>3</v>
      </c>
      <c r="I271" s="5">
        <v>60</v>
      </c>
      <c r="J271" t="s">
        <v>38</v>
      </c>
      <c r="K271" s="5">
        <v>180</v>
      </c>
    </row>
    <row r="272" spans="1:11" x14ac:dyDescent="0.2">
      <c r="A272" t="s">
        <v>511</v>
      </c>
      <c r="B272" s="4">
        <v>46104</v>
      </c>
      <c r="C272" t="s">
        <v>134</v>
      </c>
      <c r="D272" t="s">
        <v>34</v>
      </c>
      <c r="E272" t="s">
        <v>35</v>
      </c>
      <c r="F272" t="s">
        <v>71</v>
      </c>
      <c r="G272" t="s">
        <v>72</v>
      </c>
      <c r="H272">
        <v>3</v>
      </c>
      <c r="I272" s="5">
        <v>57.75</v>
      </c>
      <c r="J272" t="s">
        <v>65</v>
      </c>
      <c r="K272" s="5">
        <v>173.25</v>
      </c>
    </row>
    <row r="273" spans="1:11" x14ac:dyDescent="0.2">
      <c r="A273" t="s">
        <v>512</v>
      </c>
      <c r="B273" s="4">
        <v>46104</v>
      </c>
      <c r="C273" t="s">
        <v>221</v>
      </c>
      <c r="D273" t="s">
        <v>47</v>
      </c>
      <c r="E273" t="s">
        <v>91</v>
      </c>
      <c r="F273" t="s">
        <v>36</v>
      </c>
      <c r="G273" t="s">
        <v>513</v>
      </c>
      <c r="H273">
        <v>1</v>
      </c>
      <c r="I273" s="5">
        <v>53.1</v>
      </c>
      <c r="J273" t="s">
        <v>65</v>
      </c>
      <c r="K273" s="5">
        <v>53.1</v>
      </c>
    </row>
    <row r="274" spans="1:11" x14ac:dyDescent="0.2">
      <c r="A274" t="s">
        <v>514</v>
      </c>
      <c r="B274" s="4">
        <v>46104</v>
      </c>
      <c r="C274" t="s">
        <v>176</v>
      </c>
      <c r="D274" t="s">
        <v>114</v>
      </c>
      <c r="E274" t="s">
        <v>35</v>
      </c>
      <c r="F274" t="s">
        <v>71</v>
      </c>
      <c r="G274" t="s">
        <v>92</v>
      </c>
      <c r="H274">
        <v>4</v>
      </c>
      <c r="I274" s="5">
        <v>65</v>
      </c>
      <c r="J274" t="s">
        <v>61</v>
      </c>
      <c r="K274" s="5">
        <v>260</v>
      </c>
    </row>
    <row r="275" spans="1:11" x14ac:dyDescent="0.2">
      <c r="A275" t="s">
        <v>515</v>
      </c>
      <c r="B275" s="4">
        <v>46104</v>
      </c>
      <c r="C275" t="s">
        <v>243</v>
      </c>
      <c r="D275" t="s">
        <v>34</v>
      </c>
      <c r="E275" t="s">
        <v>35</v>
      </c>
      <c r="F275" t="s">
        <v>43</v>
      </c>
      <c r="G275" t="s">
        <v>83</v>
      </c>
      <c r="H275">
        <v>2</v>
      </c>
      <c r="I275" s="5">
        <v>39</v>
      </c>
      <c r="J275" t="s">
        <v>61</v>
      </c>
      <c r="K275" s="5">
        <v>78</v>
      </c>
    </row>
    <row r="276" spans="1:11" x14ac:dyDescent="0.2">
      <c r="A276" t="s">
        <v>516</v>
      </c>
      <c r="B276" s="4">
        <v>46105</v>
      </c>
      <c r="C276" t="s">
        <v>333</v>
      </c>
      <c r="D276" t="s">
        <v>41</v>
      </c>
      <c r="E276" t="s">
        <v>35</v>
      </c>
      <c r="F276" t="s">
        <v>36</v>
      </c>
      <c r="G276" t="s">
        <v>68</v>
      </c>
      <c r="H276">
        <v>1</v>
      </c>
      <c r="I276" s="5">
        <v>79</v>
      </c>
      <c r="J276" t="s">
        <v>61</v>
      </c>
      <c r="K276" s="5">
        <v>79</v>
      </c>
    </row>
    <row r="277" spans="1:11" x14ac:dyDescent="0.2">
      <c r="A277" t="s">
        <v>517</v>
      </c>
      <c r="B277" s="4">
        <v>46106</v>
      </c>
      <c r="C277" t="s">
        <v>283</v>
      </c>
      <c r="D277" t="s">
        <v>47</v>
      </c>
      <c r="E277" t="s">
        <v>42</v>
      </c>
      <c r="F277" t="s">
        <v>43</v>
      </c>
      <c r="G277" t="s">
        <v>44</v>
      </c>
      <c r="H277">
        <v>2</v>
      </c>
      <c r="I277" s="5">
        <v>99</v>
      </c>
      <c r="J277" t="s">
        <v>38</v>
      </c>
      <c r="K277" s="5">
        <v>198</v>
      </c>
    </row>
    <row r="278" spans="1:11" x14ac:dyDescent="0.2">
      <c r="A278" t="s">
        <v>518</v>
      </c>
      <c r="B278" s="4">
        <v>46106</v>
      </c>
      <c r="C278" t="s">
        <v>187</v>
      </c>
      <c r="D278" t="s">
        <v>58</v>
      </c>
      <c r="E278" t="s">
        <v>42</v>
      </c>
      <c r="F278" t="s">
        <v>43</v>
      </c>
      <c r="G278" t="s">
        <v>48</v>
      </c>
      <c r="H278">
        <v>2</v>
      </c>
      <c r="I278" s="5">
        <v>179</v>
      </c>
      <c r="J278" t="s">
        <v>61</v>
      </c>
      <c r="K278" s="5">
        <v>358</v>
      </c>
    </row>
    <row r="279" spans="1:11" x14ac:dyDescent="0.2">
      <c r="A279" t="s">
        <v>519</v>
      </c>
      <c r="B279" s="4">
        <v>46106</v>
      </c>
      <c r="C279" t="s">
        <v>214</v>
      </c>
      <c r="D279" t="s">
        <v>47</v>
      </c>
      <c r="E279" t="s">
        <v>42</v>
      </c>
      <c r="F279" t="s">
        <v>43</v>
      </c>
      <c r="G279" t="s">
        <v>77</v>
      </c>
      <c r="H279">
        <v>1</v>
      </c>
      <c r="I279" s="5">
        <v>45</v>
      </c>
      <c r="J279" t="s">
        <v>38</v>
      </c>
      <c r="K279" s="5">
        <v>45</v>
      </c>
    </row>
    <row r="280" spans="1:11" x14ac:dyDescent="0.2">
      <c r="A280" t="s">
        <v>520</v>
      </c>
      <c r="B280" s="4">
        <v>46106</v>
      </c>
      <c r="C280" t="s">
        <v>507</v>
      </c>
      <c r="D280" t="s">
        <v>114</v>
      </c>
      <c r="E280" t="s">
        <v>35</v>
      </c>
      <c r="F280" t="s">
        <v>59</v>
      </c>
      <c r="G280" t="s">
        <v>64</v>
      </c>
      <c r="H280">
        <v>1</v>
      </c>
      <c r="I280" s="5">
        <v>18.899999999999999</v>
      </c>
      <c r="J280" t="s">
        <v>61</v>
      </c>
      <c r="K280" s="5">
        <v>18.899999999999999</v>
      </c>
    </row>
    <row r="281" spans="1:11" x14ac:dyDescent="0.2">
      <c r="A281" t="s">
        <v>521</v>
      </c>
      <c r="B281" s="4">
        <v>46106</v>
      </c>
      <c r="C281" t="s">
        <v>397</v>
      </c>
      <c r="D281" t="s">
        <v>47</v>
      </c>
      <c r="E281" t="s">
        <v>35</v>
      </c>
      <c r="F281" t="s">
        <v>51</v>
      </c>
      <c r="G281" t="s">
        <v>155</v>
      </c>
      <c r="H281">
        <v>1</v>
      </c>
      <c r="I281" s="5">
        <v>54</v>
      </c>
      <c r="J281" t="s">
        <v>38</v>
      </c>
      <c r="K281" s="5">
        <v>54</v>
      </c>
    </row>
    <row r="282" spans="1:11" x14ac:dyDescent="0.2">
      <c r="A282" t="s">
        <v>522</v>
      </c>
      <c r="B282" s="4">
        <v>46106</v>
      </c>
      <c r="C282" t="s">
        <v>379</v>
      </c>
      <c r="D282" t="s">
        <v>47</v>
      </c>
      <c r="E282" t="s">
        <v>42</v>
      </c>
      <c r="F282" t="s">
        <v>51</v>
      </c>
      <c r="G282" t="s">
        <v>99</v>
      </c>
      <c r="H282">
        <v>2</v>
      </c>
      <c r="I282" s="5">
        <v>16.2</v>
      </c>
      <c r="J282" t="s">
        <v>38</v>
      </c>
      <c r="K282" s="5">
        <v>32.4</v>
      </c>
    </row>
    <row r="283" spans="1:11" x14ac:dyDescent="0.2">
      <c r="A283" t="s">
        <v>523</v>
      </c>
      <c r="B283" s="4">
        <v>46106</v>
      </c>
      <c r="C283" t="s">
        <v>139</v>
      </c>
      <c r="D283" t="s">
        <v>41</v>
      </c>
      <c r="E283" t="s">
        <v>42</v>
      </c>
      <c r="F283" t="s">
        <v>43</v>
      </c>
      <c r="G283" t="s">
        <v>48</v>
      </c>
      <c r="H283">
        <v>1</v>
      </c>
      <c r="I283" s="5">
        <v>187.95</v>
      </c>
      <c r="J283" t="s">
        <v>65</v>
      </c>
      <c r="K283" s="5">
        <v>187.95</v>
      </c>
    </row>
    <row r="284" spans="1:11" x14ac:dyDescent="0.2">
      <c r="A284" t="s">
        <v>524</v>
      </c>
      <c r="B284" s="4">
        <v>46107</v>
      </c>
      <c r="C284" t="s">
        <v>525</v>
      </c>
      <c r="D284" t="s">
        <v>34</v>
      </c>
      <c r="E284" t="s">
        <v>35</v>
      </c>
      <c r="F284" t="s">
        <v>51</v>
      </c>
      <c r="G284" t="s">
        <v>119</v>
      </c>
      <c r="H284">
        <v>5</v>
      </c>
      <c r="I284" s="5">
        <v>30</v>
      </c>
      <c r="J284" t="s">
        <v>38</v>
      </c>
      <c r="K284" s="5">
        <v>150</v>
      </c>
    </row>
    <row r="285" spans="1:11" x14ac:dyDescent="0.2">
      <c r="A285" t="s">
        <v>526</v>
      </c>
      <c r="B285" s="4">
        <v>46107</v>
      </c>
      <c r="C285" t="s">
        <v>275</v>
      </c>
      <c r="D285" t="s">
        <v>47</v>
      </c>
      <c r="E285" t="s">
        <v>35</v>
      </c>
      <c r="F285" t="s">
        <v>51</v>
      </c>
      <c r="G285" t="s">
        <v>99</v>
      </c>
      <c r="H285">
        <v>1</v>
      </c>
      <c r="I285" s="5">
        <v>16.2</v>
      </c>
      <c r="J285" t="s">
        <v>38</v>
      </c>
      <c r="K285" s="5">
        <v>16.2</v>
      </c>
    </row>
    <row r="286" spans="1:11" x14ac:dyDescent="0.2">
      <c r="A286" t="s">
        <v>527</v>
      </c>
      <c r="B286" s="4">
        <v>46107</v>
      </c>
      <c r="C286" t="s">
        <v>528</v>
      </c>
      <c r="D286" t="s">
        <v>58</v>
      </c>
      <c r="E286" t="s">
        <v>42</v>
      </c>
      <c r="F286" t="s">
        <v>43</v>
      </c>
      <c r="G286" t="s">
        <v>142</v>
      </c>
      <c r="H286">
        <v>5</v>
      </c>
      <c r="I286" s="5">
        <v>28.8</v>
      </c>
      <c r="J286" t="s">
        <v>38</v>
      </c>
      <c r="K286" s="5">
        <v>144</v>
      </c>
    </row>
    <row r="287" spans="1:11" x14ac:dyDescent="0.2">
      <c r="A287" t="s">
        <v>529</v>
      </c>
      <c r="B287" s="4">
        <v>46108</v>
      </c>
      <c r="C287" t="s">
        <v>408</v>
      </c>
      <c r="D287" t="s">
        <v>41</v>
      </c>
      <c r="E287" t="s">
        <v>35</v>
      </c>
      <c r="F287" t="s">
        <v>43</v>
      </c>
      <c r="G287" t="s">
        <v>44</v>
      </c>
      <c r="H287">
        <v>2</v>
      </c>
      <c r="I287" s="5">
        <v>103.95</v>
      </c>
      <c r="J287" t="s">
        <v>38</v>
      </c>
      <c r="K287" s="5">
        <v>207.9</v>
      </c>
    </row>
    <row r="288" spans="1:11" x14ac:dyDescent="0.2">
      <c r="A288" t="s">
        <v>530</v>
      </c>
      <c r="B288" s="4">
        <v>46108</v>
      </c>
      <c r="C288" t="s">
        <v>101</v>
      </c>
      <c r="D288" t="s">
        <v>47</v>
      </c>
      <c r="E288" t="s">
        <v>42</v>
      </c>
      <c r="F288" t="s">
        <v>43</v>
      </c>
      <c r="G288" t="s">
        <v>142</v>
      </c>
      <c r="H288">
        <v>3</v>
      </c>
      <c r="I288" s="5">
        <v>32</v>
      </c>
      <c r="J288" t="s">
        <v>38</v>
      </c>
      <c r="K288" s="5">
        <v>96</v>
      </c>
    </row>
    <row r="289" spans="1:11" x14ac:dyDescent="0.2">
      <c r="A289" t="s">
        <v>531</v>
      </c>
      <c r="B289" s="4">
        <v>46109</v>
      </c>
      <c r="C289" t="s">
        <v>234</v>
      </c>
      <c r="D289" t="s">
        <v>58</v>
      </c>
      <c r="E289" t="s">
        <v>35</v>
      </c>
      <c r="F289" t="s">
        <v>71</v>
      </c>
      <c r="G289" t="s">
        <v>92</v>
      </c>
      <c r="H289">
        <v>1</v>
      </c>
      <c r="I289" s="5">
        <v>68.25</v>
      </c>
      <c r="J289" t="s">
        <v>65</v>
      </c>
      <c r="K289" s="5">
        <v>68.25</v>
      </c>
    </row>
    <row r="290" spans="1:11" x14ac:dyDescent="0.2">
      <c r="A290" t="s">
        <v>532</v>
      </c>
      <c r="B290" s="4">
        <v>46109</v>
      </c>
      <c r="C290" t="s">
        <v>191</v>
      </c>
      <c r="D290" t="s">
        <v>47</v>
      </c>
      <c r="E290" t="s">
        <v>35</v>
      </c>
      <c r="F290" t="s">
        <v>71</v>
      </c>
      <c r="G290" t="s">
        <v>88</v>
      </c>
      <c r="H290">
        <v>1</v>
      </c>
      <c r="I290" s="5">
        <v>75</v>
      </c>
      <c r="J290" t="s">
        <v>38</v>
      </c>
      <c r="K290" s="5">
        <v>75</v>
      </c>
    </row>
    <row r="291" spans="1:11" x14ac:dyDescent="0.2">
      <c r="A291" t="s">
        <v>533</v>
      </c>
      <c r="B291" s="4">
        <v>46109</v>
      </c>
      <c r="C291" t="s">
        <v>157</v>
      </c>
      <c r="D291" t="s">
        <v>47</v>
      </c>
      <c r="E291" t="s">
        <v>42</v>
      </c>
      <c r="F291" t="s">
        <v>43</v>
      </c>
      <c r="G291" t="s">
        <v>44</v>
      </c>
      <c r="H291">
        <v>3</v>
      </c>
      <c r="I291" s="5">
        <v>103.95</v>
      </c>
      <c r="J291" t="s">
        <v>61</v>
      </c>
      <c r="K291" s="5">
        <v>311.85000000000002</v>
      </c>
    </row>
    <row r="292" spans="1:11" x14ac:dyDescent="0.2">
      <c r="A292" t="s">
        <v>534</v>
      </c>
      <c r="B292" s="4">
        <v>46109</v>
      </c>
      <c r="C292" t="s">
        <v>151</v>
      </c>
      <c r="D292" t="s">
        <v>47</v>
      </c>
      <c r="E292" t="s">
        <v>42</v>
      </c>
      <c r="F292" t="s">
        <v>43</v>
      </c>
      <c r="G292" t="s">
        <v>44</v>
      </c>
      <c r="H292">
        <v>1</v>
      </c>
      <c r="I292" s="5">
        <v>89.1</v>
      </c>
      <c r="J292" t="s">
        <v>38</v>
      </c>
      <c r="K292" s="5">
        <v>89.1</v>
      </c>
    </row>
    <row r="293" spans="1:11" x14ac:dyDescent="0.2">
      <c r="A293" t="s">
        <v>535</v>
      </c>
      <c r="B293" s="4">
        <v>46110</v>
      </c>
      <c r="C293" t="s">
        <v>209</v>
      </c>
      <c r="D293" t="s">
        <v>114</v>
      </c>
      <c r="E293" t="s">
        <v>35</v>
      </c>
      <c r="F293" t="s">
        <v>51</v>
      </c>
      <c r="G293" t="s">
        <v>55</v>
      </c>
      <c r="H293">
        <v>3</v>
      </c>
      <c r="I293" s="5">
        <v>22</v>
      </c>
      <c r="J293" t="s">
        <v>61</v>
      </c>
      <c r="K293" s="5">
        <v>66</v>
      </c>
    </row>
    <row r="294" spans="1:11" x14ac:dyDescent="0.2">
      <c r="A294" t="s">
        <v>536</v>
      </c>
      <c r="B294" s="4">
        <v>46110</v>
      </c>
      <c r="C294" t="s">
        <v>350</v>
      </c>
      <c r="D294" t="s">
        <v>41</v>
      </c>
      <c r="E294" t="s">
        <v>35</v>
      </c>
      <c r="F294" t="s">
        <v>43</v>
      </c>
      <c r="G294" t="s">
        <v>142</v>
      </c>
      <c r="H294">
        <v>1</v>
      </c>
      <c r="I294" s="5">
        <v>33.6</v>
      </c>
      <c r="J294" t="s">
        <v>65</v>
      </c>
      <c r="K294" s="5">
        <v>33.6</v>
      </c>
    </row>
    <row r="295" spans="1:11" x14ac:dyDescent="0.2">
      <c r="A295" t="s">
        <v>537</v>
      </c>
      <c r="B295" s="4">
        <v>46110</v>
      </c>
      <c r="C295" t="s">
        <v>538</v>
      </c>
      <c r="D295" t="s">
        <v>114</v>
      </c>
      <c r="E295" t="s">
        <v>42</v>
      </c>
      <c r="F295" t="s">
        <v>59</v>
      </c>
      <c r="G295" t="s">
        <v>106</v>
      </c>
      <c r="H295">
        <v>5</v>
      </c>
      <c r="I295" s="5">
        <v>28</v>
      </c>
      <c r="J295" t="s">
        <v>65</v>
      </c>
      <c r="K295" s="5">
        <v>140</v>
      </c>
    </row>
    <row r="296" spans="1:11" x14ac:dyDescent="0.2">
      <c r="A296" t="s">
        <v>539</v>
      </c>
      <c r="B296" s="4">
        <v>46110</v>
      </c>
      <c r="C296" t="s">
        <v>248</v>
      </c>
      <c r="D296" t="s">
        <v>41</v>
      </c>
      <c r="E296" t="s">
        <v>35</v>
      </c>
      <c r="F296" t="s">
        <v>51</v>
      </c>
      <c r="G296" t="s">
        <v>55</v>
      </c>
      <c r="H296">
        <v>1</v>
      </c>
      <c r="I296" s="5">
        <v>22</v>
      </c>
      <c r="J296" t="s">
        <v>61</v>
      </c>
      <c r="K296" s="5">
        <v>22</v>
      </c>
    </row>
    <row r="297" spans="1:11" x14ac:dyDescent="0.2">
      <c r="A297" t="s">
        <v>540</v>
      </c>
      <c r="B297" s="4">
        <v>46111</v>
      </c>
      <c r="C297" t="s">
        <v>541</v>
      </c>
      <c r="D297" t="s">
        <v>47</v>
      </c>
      <c r="E297" t="s">
        <v>42</v>
      </c>
      <c r="F297" t="s">
        <v>36</v>
      </c>
      <c r="G297" t="s">
        <v>85</v>
      </c>
      <c r="H297">
        <v>1</v>
      </c>
      <c r="I297" s="5">
        <v>89</v>
      </c>
      <c r="J297" t="s">
        <v>61</v>
      </c>
      <c r="K297" s="5">
        <v>89</v>
      </c>
    </row>
    <row r="298" spans="1:11" x14ac:dyDescent="0.2">
      <c r="A298" t="s">
        <v>542</v>
      </c>
      <c r="B298" s="4">
        <v>46111</v>
      </c>
      <c r="C298" t="s">
        <v>424</v>
      </c>
      <c r="D298" t="s">
        <v>114</v>
      </c>
      <c r="E298" t="s">
        <v>35</v>
      </c>
      <c r="F298" t="s">
        <v>43</v>
      </c>
      <c r="G298" t="s">
        <v>83</v>
      </c>
      <c r="H298">
        <v>1</v>
      </c>
      <c r="I298" s="5">
        <v>39</v>
      </c>
      <c r="J298" t="s">
        <v>38</v>
      </c>
      <c r="K298" s="5">
        <v>39</v>
      </c>
    </row>
    <row r="299" spans="1:11" x14ac:dyDescent="0.2">
      <c r="A299" t="s">
        <v>543</v>
      </c>
      <c r="B299" s="4">
        <v>46111</v>
      </c>
      <c r="C299" t="s">
        <v>40</v>
      </c>
      <c r="D299" t="s">
        <v>34</v>
      </c>
      <c r="E299" t="s">
        <v>91</v>
      </c>
      <c r="F299" t="s">
        <v>43</v>
      </c>
      <c r="G299" t="s">
        <v>142</v>
      </c>
      <c r="H299">
        <v>3</v>
      </c>
      <c r="I299" s="5">
        <v>32</v>
      </c>
      <c r="J299" t="s">
        <v>38</v>
      </c>
      <c r="K299" s="5">
        <v>96</v>
      </c>
    </row>
    <row r="300" spans="1:11" x14ac:dyDescent="0.2">
      <c r="A300" t="s">
        <v>544</v>
      </c>
      <c r="B300" s="4">
        <v>46112</v>
      </c>
      <c r="C300" t="s">
        <v>432</v>
      </c>
      <c r="D300" t="s">
        <v>41</v>
      </c>
      <c r="E300" t="s">
        <v>42</v>
      </c>
      <c r="F300" t="s">
        <v>43</v>
      </c>
      <c r="G300" t="s">
        <v>48</v>
      </c>
      <c r="H300">
        <v>1</v>
      </c>
      <c r="I300" s="5">
        <v>179</v>
      </c>
      <c r="J300" t="s">
        <v>65</v>
      </c>
      <c r="K300" s="5">
        <v>179</v>
      </c>
    </row>
    <row r="301" spans="1:11" x14ac:dyDescent="0.2">
      <c r="A301" t="s">
        <v>545</v>
      </c>
      <c r="B301" s="4">
        <v>46112</v>
      </c>
      <c r="C301" t="s">
        <v>352</v>
      </c>
      <c r="D301" t="s">
        <v>34</v>
      </c>
      <c r="E301" t="s">
        <v>35</v>
      </c>
      <c r="F301" t="s">
        <v>36</v>
      </c>
      <c r="G301" t="s">
        <v>122</v>
      </c>
      <c r="H301">
        <v>1</v>
      </c>
      <c r="I301" s="5">
        <v>25</v>
      </c>
      <c r="J301" t="s">
        <v>38</v>
      </c>
      <c r="K301" s="5">
        <v>25</v>
      </c>
    </row>
    <row r="302" spans="1:11" x14ac:dyDescent="0.2">
      <c r="A302" t="s">
        <v>546</v>
      </c>
      <c r="B302" s="4">
        <v>46112</v>
      </c>
      <c r="C302" t="s">
        <v>419</v>
      </c>
      <c r="D302" t="s">
        <v>34</v>
      </c>
      <c r="E302" t="s">
        <v>42</v>
      </c>
      <c r="F302" t="s">
        <v>51</v>
      </c>
      <c r="G302" t="s">
        <v>155</v>
      </c>
      <c r="H302">
        <v>3</v>
      </c>
      <c r="I302" s="5">
        <v>54</v>
      </c>
      <c r="J302" t="s">
        <v>61</v>
      </c>
      <c r="K302" s="5">
        <v>162</v>
      </c>
    </row>
    <row r="303" spans="1:11" x14ac:dyDescent="0.2">
      <c r="A303" t="s">
        <v>547</v>
      </c>
      <c r="B303" s="4">
        <v>46112</v>
      </c>
      <c r="C303" t="s">
        <v>548</v>
      </c>
      <c r="D303" t="s">
        <v>47</v>
      </c>
      <c r="E303" t="s">
        <v>42</v>
      </c>
      <c r="F303" t="s">
        <v>59</v>
      </c>
      <c r="G303" t="s">
        <v>80</v>
      </c>
      <c r="H303">
        <v>2</v>
      </c>
      <c r="I303" s="5">
        <v>31.5</v>
      </c>
      <c r="J303" t="s">
        <v>61</v>
      </c>
      <c r="K303" s="5">
        <v>63</v>
      </c>
    </row>
    <row r="304" spans="1:11" x14ac:dyDescent="0.2">
      <c r="A304" t="s">
        <v>549</v>
      </c>
      <c r="B304" s="4">
        <v>46112</v>
      </c>
      <c r="C304" t="s">
        <v>550</v>
      </c>
      <c r="D304" t="s">
        <v>41</v>
      </c>
      <c r="E304" t="s">
        <v>35</v>
      </c>
      <c r="F304" t="s">
        <v>59</v>
      </c>
      <c r="G304" t="s">
        <v>111</v>
      </c>
      <c r="H304">
        <v>5</v>
      </c>
      <c r="I304" s="5">
        <v>67.5</v>
      </c>
      <c r="J304" t="s">
        <v>38</v>
      </c>
      <c r="K304" s="5">
        <v>337.5</v>
      </c>
    </row>
    <row r="305" spans="1:11" x14ac:dyDescent="0.2">
      <c r="A305" t="s">
        <v>551</v>
      </c>
      <c r="B305" s="4">
        <v>46112</v>
      </c>
      <c r="C305" t="s">
        <v>383</v>
      </c>
      <c r="D305" t="s">
        <v>58</v>
      </c>
      <c r="E305" t="s">
        <v>91</v>
      </c>
      <c r="F305" t="s">
        <v>36</v>
      </c>
      <c r="G305" t="s">
        <v>85</v>
      </c>
      <c r="H305">
        <v>1</v>
      </c>
      <c r="I305" s="5">
        <v>89</v>
      </c>
      <c r="J305" t="s">
        <v>38</v>
      </c>
      <c r="K305" s="5">
        <v>89</v>
      </c>
    </row>
    <row r="306" spans="1:11" x14ac:dyDescent="0.2">
      <c r="A306" t="s">
        <v>552</v>
      </c>
      <c r="B306" s="4">
        <v>46113</v>
      </c>
      <c r="C306" t="s">
        <v>221</v>
      </c>
      <c r="D306" t="s">
        <v>114</v>
      </c>
      <c r="E306" t="s">
        <v>35</v>
      </c>
      <c r="F306" t="s">
        <v>43</v>
      </c>
      <c r="G306" t="s">
        <v>77</v>
      </c>
      <c r="H306">
        <v>1</v>
      </c>
      <c r="I306" s="5">
        <v>45</v>
      </c>
      <c r="J306" t="s">
        <v>38</v>
      </c>
      <c r="K306" s="5">
        <v>45</v>
      </c>
    </row>
    <row r="307" spans="1:11" x14ac:dyDescent="0.2">
      <c r="A307" t="s">
        <v>553</v>
      </c>
      <c r="B307" s="4">
        <v>46113</v>
      </c>
      <c r="C307" t="s">
        <v>554</v>
      </c>
      <c r="D307" t="s">
        <v>47</v>
      </c>
      <c r="E307" t="s">
        <v>91</v>
      </c>
      <c r="F307" t="s">
        <v>43</v>
      </c>
      <c r="G307" t="s">
        <v>44</v>
      </c>
      <c r="H307">
        <v>2</v>
      </c>
      <c r="I307" s="5">
        <v>89.1</v>
      </c>
      <c r="J307" t="s">
        <v>61</v>
      </c>
      <c r="K307" s="5">
        <v>178.2</v>
      </c>
    </row>
    <row r="308" spans="1:11" x14ac:dyDescent="0.2">
      <c r="A308" t="s">
        <v>555</v>
      </c>
      <c r="B308" s="4">
        <v>46114</v>
      </c>
      <c r="C308" t="s">
        <v>498</v>
      </c>
      <c r="D308" t="s">
        <v>34</v>
      </c>
      <c r="E308" t="s">
        <v>42</v>
      </c>
      <c r="F308" t="s">
        <v>59</v>
      </c>
      <c r="G308" t="s">
        <v>60</v>
      </c>
      <c r="H308">
        <v>2</v>
      </c>
      <c r="I308" s="5">
        <v>120</v>
      </c>
      <c r="J308" t="s">
        <v>38</v>
      </c>
      <c r="K308" s="5">
        <v>240</v>
      </c>
    </row>
    <row r="309" spans="1:11" x14ac:dyDescent="0.2">
      <c r="A309" t="s">
        <v>556</v>
      </c>
      <c r="B309" s="4">
        <v>46114</v>
      </c>
      <c r="C309" t="s">
        <v>67</v>
      </c>
      <c r="D309" t="s">
        <v>58</v>
      </c>
      <c r="E309" t="s">
        <v>42</v>
      </c>
      <c r="F309" t="s">
        <v>43</v>
      </c>
      <c r="G309" t="s">
        <v>142</v>
      </c>
      <c r="H309">
        <v>1</v>
      </c>
      <c r="I309" s="5">
        <v>33.6</v>
      </c>
      <c r="J309" t="s">
        <v>38</v>
      </c>
      <c r="K309" s="5">
        <v>33.6</v>
      </c>
    </row>
    <row r="310" spans="1:11" x14ac:dyDescent="0.2">
      <c r="A310" t="s">
        <v>557</v>
      </c>
      <c r="B310" s="4">
        <v>46114</v>
      </c>
      <c r="C310" t="s">
        <v>394</v>
      </c>
      <c r="D310" t="s">
        <v>34</v>
      </c>
      <c r="E310" t="s">
        <v>35</v>
      </c>
      <c r="F310" t="s">
        <v>36</v>
      </c>
      <c r="G310" t="s">
        <v>85</v>
      </c>
      <c r="H310">
        <v>3</v>
      </c>
      <c r="I310" s="5">
        <v>89</v>
      </c>
      <c r="J310" t="s">
        <v>38</v>
      </c>
      <c r="K310" s="5">
        <v>267</v>
      </c>
    </row>
    <row r="311" spans="1:11" x14ac:dyDescent="0.2">
      <c r="A311" t="s">
        <v>558</v>
      </c>
      <c r="B311" s="4">
        <v>46114</v>
      </c>
      <c r="C311" t="s">
        <v>300</v>
      </c>
      <c r="D311" t="s">
        <v>58</v>
      </c>
      <c r="E311" t="s">
        <v>91</v>
      </c>
      <c r="F311" t="s">
        <v>71</v>
      </c>
      <c r="G311" t="s">
        <v>95</v>
      </c>
      <c r="H311">
        <v>1</v>
      </c>
      <c r="I311" s="5">
        <v>20</v>
      </c>
      <c r="J311" t="s">
        <v>38</v>
      </c>
      <c r="K311" s="5">
        <v>20</v>
      </c>
    </row>
    <row r="312" spans="1:11" x14ac:dyDescent="0.2">
      <c r="A312" t="s">
        <v>559</v>
      </c>
      <c r="B312" s="4">
        <v>46115</v>
      </c>
      <c r="C312" t="s">
        <v>560</v>
      </c>
      <c r="D312" t="s">
        <v>41</v>
      </c>
      <c r="E312" t="s">
        <v>35</v>
      </c>
      <c r="F312" t="s">
        <v>59</v>
      </c>
      <c r="G312" t="s">
        <v>106</v>
      </c>
      <c r="H312">
        <v>1</v>
      </c>
      <c r="I312" s="5">
        <v>28</v>
      </c>
      <c r="J312" t="s">
        <v>38</v>
      </c>
      <c r="K312" s="5">
        <v>28</v>
      </c>
    </row>
    <row r="313" spans="1:11" x14ac:dyDescent="0.2">
      <c r="A313" t="s">
        <v>561</v>
      </c>
      <c r="B313" s="4">
        <v>46116</v>
      </c>
      <c r="C313" t="s">
        <v>451</v>
      </c>
      <c r="D313" t="s">
        <v>58</v>
      </c>
      <c r="E313" t="s">
        <v>91</v>
      </c>
      <c r="F313" t="s">
        <v>36</v>
      </c>
      <c r="G313" t="s">
        <v>68</v>
      </c>
      <c r="H313">
        <v>1</v>
      </c>
      <c r="I313" s="5">
        <v>79</v>
      </c>
      <c r="J313" t="s">
        <v>38</v>
      </c>
      <c r="K313" s="5">
        <v>79</v>
      </c>
    </row>
    <row r="314" spans="1:11" x14ac:dyDescent="0.2">
      <c r="A314" t="s">
        <v>562</v>
      </c>
      <c r="B314" s="4">
        <v>46116</v>
      </c>
      <c r="C314" t="s">
        <v>94</v>
      </c>
      <c r="D314" t="s">
        <v>58</v>
      </c>
      <c r="E314" t="s">
        <v>42</v>
      </c>
      <c r="F314" t="s">
        <v>43</v>
      </c>
      <c r="G314" t="s">
        <v>48</v>
      </c>
      <c r="H314">
        <v>1</v>
      </c>
      <c r="I314" s="5">
        <v>187.95</v>
      </c>
      <c r="J314" t="s">
        <v>38</v>
      </c>
      <c r="K314" s="5">
        <v>187.95</v>
      </c>
    </row>
    <row r="315" spans="1:11" x14ac:dyDescent="0.2">
      <c r="A315" t="s">
        <v>563</v>
      </c>
      <c r="B315" s="4">
        <v>46117</v>
      </c>
      <c r="C315" t="s">
        <v>373</v>
      </c>
      <c r="D315" t="s">
        <v>34</v>
      </c>
      <c r="E315" t="s">
        <v>42</v>
      </c>
      <c r="F315" t="s">
        <v>59</v>
      </c>
      <c r="G315" t="s">
        <v>111</v>
      </c>
      <c r="H315">
        <v>1</v>
      </c>
      <c r="I315" s="5">
        <v>78.75</v>
      </c>
      <c r="J315" t="s">
        <v>38</v>
      </c>
      <c r="K315" s="5">
        <v>78.75</v>
      </c>
    </row>
    <row r="316" spans="1:11" x14ac:dyDescent="0.2">
      <c r="A316" t="s">
        <v>564</v>
      </c>
      <c r="B316" s="4">
        <v>46117</v>
      </c>
      <c r="C316" t="s">
        <v>565</v>
      </c>
      <c r="D316" t="s">
        <v>58</v>
      </c>
      <c r="E316" t="s">
        <v>35</v>
      </c>
      <c r="F316" t="s">
        <v>71</v>
      </c>
      <c r="G316" t="s">
        <v>137</v>
      </c>
      <c r="H316">
        <v>1</v>
      </c>
      <c r="I316" s="5">
        <v>110</v>
      </c>
      <c r="J316" t="s">
        <v>61</v>
      </c>
      <c r="K316" s="5">
        <v>110</v>
      </c>
    </row>
    <row r="317" spans="1:11" x14ac:dyDescent="0.2">
      <c r="A317" t="s">
        <v>566</v>
      </c>
      <c r="B317" s="4">
        <v>46117</v>
      </c>
      <c r="C317" t="s">
        <v>397</v>
      </c>
      <c r="D317" t="s">
        <v>114</v>
      </c>
      <c r="E317" t="s">
        <v>35</v>
      </c>
      <c r="F317" t="s">
        <v>59</v>
      </c>
      <c r="G317" t="s">
        <v>111</v>
      </c>
      <c r="H317">
        <v>1</v>
      </c>
      <c r="I317" s="5">
        <v>75</v>
      </c>
      <c r="J317" t="s">
        <v>65</v>
      </c>
      <c r="K317" s="5">
        <v>75</v>
      </c>
    </row>
    <row r="318" spans="1:11" x14ac:dyDescent="0.2">
      <c r="A318" t="s">
        <v>567</v>
      </c>
      <c r="B318" s="4">
        <v>46118</v>
      </c>
      <c r="C318" t="s">
        <v>568</v>
      </c>
      <c r="D318" t="s">
        <v>41</v>
      </c>
      <c r="E318" t="s">
        <v>35</v>
      </c>
      <c r="F318" t="s">
        <v>43</v>
      </c>
      <c r="G318" t="s">
        <v>44</v>
      </c>
      <c r="H318">
        <v>2</v>
      </c>
      <c r="I318" s="5">
        <v>99</v>
      </c>
      <c r="J318" t="s">
        <v>38</v>
      </c>
      <c r="K318" s="5">
        <v>198</v>
      </c>
    </row>
    <row r="319" spans="1:11" x14ac:dyDescent="0.2">
      <c r="A319" t="s">
        <v>569</v>
      </c>
      <c r="B319" s="4">
        <v>46119</v>
      </c>
      <c r="C319" t="s">
        <v>550</v>
      </c>
      <c r="D319" t="s">
        <v>47</v>
      </c>
      <c r="E319" t="s">
        <v>35</v>
      </c>
      <c r="F319" t="s">
        <v>71</v>
      </c>
      <c r="G319" t="s">
        <v>95</v>
      </c>
      <c r="H319">
        <v>4</v>
      </c>
      <c r="I319" s="5">
        <v>18</v>
      </c>
      <c r="J319" t="s">
        <v>38</v>
      </c>
      <c r="K319" s="5">
        <v>72</v>
      </c>
    </row>
    <row r="320" spans="1:11" x14ac:dyDescent="0.2">
      <c r="A320" t="s">
        <v>570</v>
      </c>
      <c r="B320" s="4">
        <v>46119</v>
      </c>
      <c r="C320" t="s">
        <v>571</v>
      </c>
      <c r="D320" t="s">
        <v>58</v>
      </c>
      <c r="E320" t="s">
        <v>35</v>
      </c>
      <c r="F320" t="s">
        <v>71</v>
      </c>
      <c r="G320" t="s">
        <v>95</v>
      </c>
      <c r="H320">
        <v>1</v>
      </c>
      <c r="I320" s="5">
        <v>20</v>
      </c>
      <c r="J320" t="s">
        <v>38</v>
      </c>
      <c r="K320" s="5">
        <v>20</v>
      </c>
    </row>
    <row r="321" spans="1:11" x14ac:dyDescent="0.2">
      <c r="A321" t="s">
        <v>572</v>
      </c>
      <c r="B321" s="4">
        <v>46119</v>
      </c>
      <c r="C321" t="s">
        <v>436</v>
      </c>
      <c r="D321" t="s">
        <v>34</v>
      </c>
      <c r="E321" t="s">
        <v>35</v>
      </c>
      <c r="F321" t="s">
        <v>71</v>
      </c>
      <c r="G321" t="s">
        <v>72</v>
      </c>
      <c r="H321">
        <v>1</v>
      </c>
      <c r="I321" s="5">
        <v>55</v>
      </c>
      <c r="J321" t="s">
        <v>38</v>
      </c>
      <c r="K321" s="5">
        <v>55</v>
      </c>
    </row>
    <row r="322" spans="1:11" x14ac:dyDescent="0.2">
      <c r="A322" t="s">
        <v>573</v>
      </c>
      <c r="B322" s="4">
        <v>46120</v>
      </c>
      <c r="C322" t="s">
        <v>574</v>
      </c>
      <c r="D322" t="s">
        <v>47</v>
      </c>
      <c r="E322" t="s">
        <v>91</v>
      </c>
      <c r="F322" t="s">
        <v>43</v>
      </c>
      <c r="G322" t="s">
        <v>142</v>
      </c>
      <c r="H322">
        <v>1</v>
      </c>
      <c r="I322" s="5">
        <v>28.8</v>
      </c>
      <c r="J322" t="s">
        <v>38</v>
      </c>
      <c r="K322" s="5">
        <v>28.8</v>
      </c>
    </row>
    <row r="323" spans="1:11" x14ac:dyDescent="0.2">
      <c r="A323" t="s">
        <v>575</v>
      </c>
      <c r="B323" s="4">
        <v>46120</v>
      </c>
      <c r="C323" t="s">
        <v>397</v>
      </c>
      <c r="D323" t="s">
        <v>34</v>
      </c>
      <c r="E323" t="s">
        <v>35</v>
      </c>
      <c r="F323" t="s">
        <v>51</v>
      </c>
      <c r="G323" t="s">
        <v>99</v>
      </c>
      <c r="H323">
        <v>1</v>
      </c>
      <c r="I323" s="5">
        <v>18.899999999999999</v>
      </c>
      <c r="J323" t="s">
        <v>61</v>
      </c>
      <c r="K323" s="5">
        <v>18.899999999999999</v>
      </c>
    </row>
    <row r="324" spans="1:11" x14ac:dyDescent="0.2">
      <c r="A324" t="s">
        <v>576</v>
      </c>
      <c r="B324" s="4">
        <v>46120</v>
      </c>
      <c r="C324" t="s">
        <v>234</v>
      </c>
      <c r="D324" t="s">
        <v>114</v>
      </c>
      <c r="E324" t="s">
        <v>42</v>
      </c>
      <c r="F324" t="s">
        <v>43</v>
      </c>
      <c r="G324" t="s">
        <v>44</v>
      </c>
      <c r="H324">
        <v>1</v>
      </c>
      <c r="I324" s="5">
        <v>99</v>
      </c>
      <c r="J324" t="s">
        <v>38</v>
      </c>
      <c r="K324" s="5">
        <v>99</v>
      </c>
    </row>
    <row r="325" spans="1:11" x14ac:dyDescent="0.2">
      <c r="A325" t="s">
        <v>577</v>
      </c>
      <c r="B325" s="4">
        <v>46121</v>
      </c>
      <c r="C325" t="s">
        <v>232</v>
      </c>
      <c r="D325" t="s">
        <v>41</v>
      </c>
      <c r="E325" t="s">
        <v>42</v>
      </c>
      <c r="F325" t="s">
        <v>59</v>
      </c>
      <c r="G325" t="s">
        <v>80</v>
      </c>
      <c r="H325">
        <v>1</v>
      </c>
      <c r="I325" s="5">
        <v>35</v>
      </c>
      <c r="J325" t="s">
        <v>38</v>
      </c>
      <c r="K325" s="5">
        <v>35</v>
      </c>
    </row>
    <row r="326" spans="1:11" x14ac:dyDescent="0.2">
      <c r="A326" t="s">
        <v>578</v>
      </c>
      <c r="B326" s="4">
        <v>46121</v>
      </c>
      <c r="C326" t="s">
        <v>579</v>
      </c>
      <c r="D326" t="s">
        <v>58</v>
      </c>
      <c r="E326" t="s">
        <v>35</v>
      </c>
      <c r="F326" t="s">
        <v>71</v>
      </c>
      <c r="G326" t="s">
        <v>137</v>
      </c>
      <c r="H326">
        <v>3</v>
      </c>
      <c r="I326" s="5">
        <v>110</v>
      </c>
      <c r="J326" t="s">
        <v>38</v>
      </c>
      <c r="K326" s="5">
        <v>330</v>
      </c>
    </row>
    <row r="327" spans="1:11" x14ac:dyDescent="0.2">
      <c r="A327" t="s">
        <v>580</v>
      </c>
      <c r="B327" s="4">
        <v>46121</v>
      </c>
      <c r="C327" t="s">
        <v>154</v>
      </c>
      <c r="D327" t="s">
        <v>41</v>
      </c>
      <c r="E327" t="s">
        <v>91</v>
      </c>
      <c r="F327" t="s">
        <v>59</v>
      </c>
      <c r="G327" t="s">
        <v>60</v>
      </c>
      <c r="H327">
        <v>3</v>
      </c>
      <c r="I327" s="5">
        <v>120</v>
      </c>
      <c r="J327" t="s">
        <v>61</v>
      </c>
      <c r="K327" s="5">
        <v>360</v>
      </c>
    </row>
    <row r="328" spans="1:11" x14ac:dyDescent="0.2">
      <c r="A328" t="s">
        <v>581</v>
      </c>
      <c r="B328" s="4">
        <v>46121</v>
      </c>
      <c r="C328" t="s">
        <v>444</v>
      </c>
      <c r="D328" t="s">
        <v>114</v>
      </c>
      <c r="E328" t="s">
        <v>42</v>
      </c>
      <c r="F328" t="s">
        <v>36</v>
      </c>
      <c r="G328" t="s">
        <v>122</v>
      </c>
      <c r="H328">
        <v>3</v>
      </c>
      <c r="I328" s="5">
        <v>25</v>
      </c>
      <c r="J328" t="s">
        <v>65</v>
      </c>
      <c r="K328" s="5">
        <v>75</v>
      </c>
    </row>
    <row r="329" spans="1:11" x14ac:dyDescent="0.2">
      <c r="A329" t="s">
        <v>582</v>
      </c>
      <c r="B329" s="4">
        <v>46121</v>
      </c>
      <c r="C329" t="s">
        <v>211</v>
      </c>
      <c r="D329" t="s">
        <v>47</v>
      </c>
      <c r="E329" t="s">
        <v>35</v>
      </c>
      <c r="F329" t="s">
        <v>43</v>
      </c>
      <c r="G329" t="s">
        <v>83</v>
      </c>
      <c r="H329">
        <v>1</v>
      </c>
      <c r="I329" s="5">
        <v>39</v>
      </c>
      <c r="J329" t="s">
        <v>38</v>
      </c>
      <c r="K329" s="5">
        <v>39</v>
      </c>
    </row>
    <row r="330" spans="1:11" x14ac:dyDescent="0.2">
      <c r="A330" t="s">
        <v>583</v>
      </c>
      <c r="B330" s="4">
        <v>46121</v>
      </c>
      <c r="C330" t="s">
        <v>194</v>
      </c>
      <c r="D330" t="s">
        <v>41</v>
      </c>
      <c r="E330" t="s">
        <v>42</v>
      </c>
      <c r="F330" t="s">
        <v>71</v>
      </c>
      <c r="G330" t="s">
        <v>88</v>
      </c>
      <c r="H330">
        <v>1</v>
      </c>
      <c r="I330" s="5">
        <v>75</v>
      </c>
      <c r="J330" t="s">
        <v>65</v>
      </c>
      <c r="K330" s="5">
        <v>75</v>
      </c>
    </row>
    <row r="331" spans="1:11" x14ac:dyDescent="0.2">
      <c r="A331" t="s">
        <v>584</v>
      </c>
      <c r="B331" s="4">
        <v>46122</v>
      </c>
      <c r="C331" t="s">
        <v>358</v>
      </c>
      <c r="D331" t="s">
        <v>34</v>
      </c>
      <c r="E331" t="s">
        <v>42</v>
      </c>
      <c r="F331" t="s">
        <v>36</v>
      </c>
      <c r="G331" t="s">
        <v>152</v>
      </c>
      <c r="H331">
        <v>2</v>
      </c>
      <c r="I331" s="5">
        <v>59</v>
      </c>
      <c r="J331" t="s">
        <v>38</v>
      </c>
      <c r="K331" s="5">
        <v>118</v>
      </c>
    </row>
    <row r="332" spans="1:11" x14ac:dyDescent="0.2">
      <c r="A332" t="s">
        <v>585</v>
      </c>
      <c r="B332" s="4">
        <v>46122</v>
      </c>
      <c r="C332" t="s">
        <v>586</v>
      </c>
      <c r="D332" t="s">
        <v>114</v>
      </c>
      <c r="E332" t="s">
        <v>35</v>
      </c>
      <c r="F332" t="s">
        <v>71</v>
      </c>
      <c r="G332" t="s">
        <v>88</v>
      </c>
      <c r="H332">
        <v>1</v>
      </c>
      <c r="I332" s="5">
        <v>67.5</v>
      </c>
      <c r="J332" t="s">
        <v>61</v>
      </c>
      <c r="K332" s="5">
        <v>67.5</v>
      </c>
    </row>
    <row r="333" spans="1:11" x14ac:dyDescent="0.2">
      <c r="A333" t="s">
        <v>587</v>
      </c>
      <c r="B333" s="4">
        <v>46122</v>
      </c>
      <c r="C333" t="s">
        <v>588</v>
      </c>
      <c r="D333" t="s">
        <v>34</v>
      </c>
      <c r="E333" t="s">
        <v>35</v>
      </c>
      <c r="F333" t="s">
        <v>51</v>
      </c>
      <c r="G333" t="s">
        <v>155</v>
      </c>
      <c r="H333">
        <v>1</v>
      </c>
      <c r="I333" s="5">
        <v>60</v>
      </c>
      <c r="J333" t="s">
        <v>61</v>
      </c>
      <c r="K333" s="5">
        <v>60</v>
      </c>
    </row>
    <row r="334" spans="1:11" x14ac:dyDescent="0.2">
      <c r="A334" t="s">
        <v>589</v>
      </c>
      <c r="B334" s="4">
        <v>46122</v>
      </c>
      <c r="C334" t="s">
        <v>154</v>
      </c>
      <c r="D334" t="s">
        <v>47</v>
      </c>
      <c r="E334" t="s">
        <v>35</v>
      </c>
      <c r="F334" t="s">
        <v>36</v>
      </c>
      <c r="G334" t="s">
        <v>152</v>
      </c>
      <c r="H334">
        <v>3</v>
      </c>
      <c r="I334" s="5">
        <v>53.1</v>
      </c>
      <c r="J334" t="s">
        <v>65</v>
      </c>
      <c r="K334" s="5">
        <v>159.30000000000001</v>
      </c>
    </row>
    <row r="335" spans="1:11" x14ac:dyDescent="0.2">
      <c r="A335" t="s">
        <v>590</v>
      </c>
      <c r="B335" s="4">
        <v>46123</v>
      </c>
      <c r="C335" t="s">
        <v>263</v>
      </c>
      <c r="D335" t="s">
        <v>34</v>
      </c>
      <c r="E335" t="s">
        <v>42</v>
      </c>
      <c r="F335" t="s">
        <v>59</v>
      </c>
      <c r="G335" t="s">
        <v>64</v>
      </c>
      <c r="H335">
        <v>3</v>
      </c>
      <c r="I335" s="5">
        <v>18</v>
      </c>
      <c r="J335" t="s">
        <v>38</v>
      </c>
      <c r="K335" s="5">
        <v>54</v>
      </c>
    </row>
    <row r="336" spans="1:11" x14ac:dyDescent="0.2">
      <c r="A336" t="s">
        <v>591</v>
      </c>
      <c r="B336" s="4">
        <v>46123</v>
      </c>
      <c r="C336" t="s">
        <v>63</v>
      </c>
      <c r="D336" t="s">
        <v>58</v>
      </c>
      <c r="E336" t="s">
        <v>35</v>
      </c>
      <c r="F336" t="s">
        <v>36</v>
      </c>
      <c r="G336" t="s">
        <v>68</v>
      </c>
      <c r="H336">
        <v>1</v>
      </c>
      <c r="I336" s="5">
        <v>79</v>
      </c>
      <c r="J336" t="s">
        <v>61</v>
      </c>
      <c r="K336" s="5">
        <v>79</v>
      </c>
    </row>
    <row r="337" spans="1:11" x14ac:dyDescent="0.2">
      <c r="A337" t="s">
        <v>592</v>
      </c>
      <c r="B337" s="4">
        <v>46124</v>
      </c>
      <c r="C337" t="s">
        <v>333</v>
      </c>
      <c r="D337" t="s">
        <v>41</v>
      </c>
      <c r="E337" t="s">
        <v>35</v>
      </c>
      <c r="F337" t="s">
        <v>43</v>
      </c>
      <c r="G337" t="s">
        <v>48</v>
      </c>
      <c r="H337">
        <v>2</v>
      </c>
      <c r="I337" s="5">
        <v>187.95</v>
      </c>
      <c r="J337" t="s">
        <v>38</v>
      </c>
      <c r="K337" s="5">
        <v>375.9</v>
      </c>
    </row>
    <row r="338" spans="1:11" x14ac:dyDescent="0.2">
      <c r="A338" t="s">
        <v>593</v>
      </c>
      <c r="B338" s="4">
        <v>46124</v>
      </c>
      <c r="C338" t="s">
        <v>108</v>
      </c>
      <c r="D338" t="s">
        <v>41</v>
      </c>
      <c r="E338" t="s">
        <v>35</v>
      </c>
      <c r="F338" t="s">
        <v>43</v>
      </c>
      <c r="G338" t="s">
        <v>83</v>
      </c>
      <c r="H338">
        <v>2</v>
      </c>
      <c r="I338" s="5">
        <v>39</v>
      </c>
      <c r="J338" t="s">
        <v>38</v>
      </c>
      <c r="K338" s="5">
        <v>78</v>
      </c>
    </row>
    <row r="339" spans="1:11" x14ac:dyDescent="0.2">
      <c r="A339" t="s">
        <v>594</v>
      </c>
      <c r="B339" s="4">
        <v>46124</v>
      </c>
      <c r="C339" t="s">
        <v>472</v>
      </c>
      <c r="D339" t="s">
        <v>41</v>
      </c>
      <c r="E339" t="s">
        <v>91</v>
      </c>
      <c r="F339" t="s">
        <v>36</v>
      </c>
      <c r="G339" t="s">
        <v>37</v>
      </c>
      <c r="H339">
        <v>1</v>
      </c>
      <c r="I339" s="5">
        <v>35</v>
      </c>
      <c r="J339" t="s">
        <v>61</v>
      </c>
      <c r="K339" s="5">
        <v>35</v>
      </c>
    </row>
    <row r="340" spans="1:11" x14ac:dyDescent="0.2">
      <c r="A340" t="s">
        <v>595</v>
      </c>
      <c r="B340" s="4">
        <v>46125</v>
      </c>
      <c r="C340" t="s">
        <v>596</v>
      </c>
      <c r="D340" t="s">
        <v>58</v>
      </c>
      <c r="E340" t="s">
        <v>35</v>
      </c>
      <c r="F340" t="s">
        <v>51</v>
      </c>
      <c r="G340" t="s">
        <v>55</v>
      </c>
      <c r="H340">
        <v>3</v>
      </c>
      <c r="I340" s="5">
        <v>23.1</v>
      </c>
      <c r="J340" t="s">
        <v>38</v>
      </c>
      <c r="K340" s="5">
        <v>69.3</v>
      </c>
    </row>
    <row r="341" spans="1:11" x14ac:dyDescent="0.2">
      <c r="A341" t="s">
        <v>597</v>
      </c>
      <c r="B341" s="4">
        <v>46125</v>
      </c>
      <c r="C341" t="s">
        <v>394</v>
      </c>
      <c r="D341" t="s">
        <v>47</v>
      </c>
      <c r="E341" t="s">
        <v>35</v>
      </c>
      <c r="F341" t="s">
        <v>36</v>
      </c>
      <c r="G341" t="s">
        <v>152</v>
      </c>
      <c r="H341">
        <v>3</v>
      </c>
      <c r="I341" s="5">
        <v>59</v>
      </c>
      <c r="J341" t="s">
        <v>61</v>
      </c>
      <c r="K341" s="5">
        <v>177</v>
      </c>
    </row>
    <row r="342" spans="1:11" x14ac:dyDescent="0.2">
      <c r="A342" t="s">
        <v>598</v>
      </c>
      <c r="B342" s="4">
        <v>46125</v>
      </c>
      <c r="C342" t="s">
        <v>599</v>
      </c>
      <c r="D342" t="s">
        <v>34</v>
      </c>
      <c r="E342" t="s">
        <v>35</v>
      </c>
      <c r="F342" t="s">
        <v>71</v>
      </c>
      <c r="G342" t="s">
        <v>95</v>
      </c>
      <c r="H342">
        <v>2</v>
      </c>
      <c r="I342" s="5">
        <v>20</v>
      </c>
      <c r="J342" t="s">
        <v>61</v>
      </c>
      <c r="K342" s="5">
        <v>40</v>
      </c>
    </row>
    <row r="343" spans="1:11" x14ac:dyDescent="0.2">
      <c r="A343" t="s">
        <v>600</v>
      </c>
      <c r="B343" s="4">
        <v>46126</v>
      </c>
      <c r="C343" t="s">
        <v>601</v>
      </c>
      <c r="D343" t="s">
        <v>34</v>
      </c>
      <c r="E343" t="s">
        <v>91</v>
      </c>
      <c r="F343" t="s">
        <v>36</v>
      </c>
      <c r="G343" t="s">
        <v>85</v>
      </c>
      <c r="H343">
        <v>1</v>
      </c>
      <c r="I343" s="5">
        <v>93.45</v>
      </c>
      <c r="J343" t="s">
        <v>38</v>
      </c>
      <c r="K343" s="5">
        <v>93.45</v>
      </c>
    </row>
    <row r="344" spans="1:11" x14ac:dyDescent="0.2">
      <c r="A344" t="s">
        <v>602</v>
      </c>
      <c r="B344" s="4">
        <v>46127</v>
      </c>
      <c r="C344" t="s">
        <v>389</v>
      </c>
      <c r="D344" t="s">
        <v>34</v>
      </c>
      <c r="E344" t="s">
        <v>35</v>
      </c>
      <c r="F344" t="s">
        <v>36</v>
      </c>
      <c r="G344" t="s">
        <v>122</v>
      </c>
      <c r="H344">
        <v>1</v>
      </c>
      <c r="I344" s="5">
        <v>22.5</v>
      </c>
      <c r="J344" t="s">
        <v>65</v>
      </c>
      <c r="K344" s="5">
        <v>22.5</v>
      </c>
    </row>
    <row r="345" spans="1:11" x14ac:dyDescent="0.2">
      <c r="A345" t="s">
        <v>603</v>
      </c>
      <c r="B345" s="4">
        <v>46127</v>
      </c>
      <c r="C345" t="s">
        <v>265</v>
      </c>
      <c r="D345" t="s">
        <v>41</v>
      </c>
      <c r="E345" t="s">
        <v>91</v>
      </c>
      <c r="F345" t="s">
        <v>71</v>
      </c>
      <c r="G345" t="s">
        <v>72</v>
      </c>
      <c r="H345">
        <v>2</v>
      </c>
      <c r="I345" s="5">
        <v>55</v>
      </c>
      <c r="J345" t="s">
        <v>38</v>
      </c>
      <c r="K345" s="5">
        <v>110</v>
      </c>
    </row>
    <row r="346" spans="1:11" x14ac:dyDescent="0.2">
      <c r="A346" t="s">
        <v>604</v>
      </c>
      <c r="B346" s="4">
        <v>46127</v>
      </c>
      <c r="C346" t="s">
        <v>225</v>
      </c>
      <c r="D346" t="s">
        <v>47</v>
      </c>
      <c r="E346" t="s">
        <v>42</v>
      </c>
      <c r="F346" t="s">
        <v>59</v>
      </c>
      <c r="G346" t="s">
        <v>80</v>
      </c>
      <c r="H346">
        <v>1</v>
      </c>
      <c r="I346" s="5">
        <v>35</v>
      </c>
      <c r="J346" t="s">
        <v>65</v>
      </c>
      <c r="K346" s="5">
        <v>35</v>
      </c>
    </row>
    <row r="347" spans="1:11" x14ac:dyDescent="0.2">
      <c r="A347" t="s">
        <v>605</v>
      </c>
      <c r="B347" s="4">
        <v>46127</v>
      </c>
      <c r="C347" t="s">
        <v>67</v>
      </c>
      <c r="D347" t="s">
        <v>47</v>
      </c>
      <c r="E347" t="s">
        <v>42</v>
      </c>
      <c r="F347" t="s">
        <v>43</v>
      </c>
      <c r="G347" t="s">
        <v>83</v>
      </c>
      <c r="H347">
        <v>1</v>
      </c>
      <c r="I347" s="5">
        <v>39</v>
      </c>
      <c r="J347" t="s">
        <v>61</v>
      </c>
      <c r="K347" s="5">
        <v>39</v>
      </c>
    </row>
    <row r="348" spans="1:11" x14ac:dyDescent="0.2">
      <c r="A348" t="s">
        <v>606</v>
      </c>
      <c r="B348" s="4">
        <v>46128</v>
      </c>
      <c r="C348" t="s">
        <v>472</v>
      </c>
      <c r="D348" t="s">
        <v>34</v>
      </c>
      <c r="E348" t="s">
        <v>35</v>
      </c>
      <c r="F348" t="s">
        <v>43</v>
      </c>
      <c r="G348" t="s">
        <v>83</v>
      </c>
      <c r="H348">
        <v>1</v>
      </c>
      <c r="I348" s="5">
        <v>39</v>
      </c>
      <c r="J348" t="s">
        <v>38</v>
      </c>
      <c r="K348" s="5">
        <v>39</v>
      </c>
    </row>
    <row r="349" spans="1:11" x14ac:dyDescent="0.2">
      <c r="A349" t="s">
        <v>607</v>
      </c>
      <c r="B349" s="4">
        <v>46128</v>
      </c>
      <c r="C349" t="s">
        <v>485</v>
      </c>
      <c r="D349" t="s">
        <v>47</v>
      </c>
      <c r="E349" t="s">
        <v>91</v>
      </c>
      <c r="F349" t="s">
        <v>51</v>
      </c>
      <c r="G349" t="s">
        <v>52</v>
      </c>
      <c r="H349">
        <v>1</v>
      </c>
      <c r="I349" s="5">
        <v>45</v>
      </c>
      <c r="J349" t="s">
        <v>65</v>
      </c>
      <c r="K349" s="5">
        <v>45</v>
      </c>
    </row>
    <row r="350" spans="1:11" x14ac:dyDescent="0.2">
      <c r="A350" t="s">
        <v>608</v>
      </c>
      <c r="B350" s="4">
        <v>46128</v>
      </c>
      <c r="C350" t="s">
        <v>503</v>
      </c>
      <c r="D350" t="s">
        <v>58</v>
      </c>
      <c r="E350" t="s">
        <v>35</v>
      </c>
      <c r="F350" t="s">
        <v>59</v>
      </c>
      <c r="G350" t="s">
        <v>60</v>
      </c>
      <c r="H350">
        <v>2</v>
      </c>
      <c r="I350" s="5">
        <v>120</v>
      </c>
      <c r="J350" t="s">
        <v>38</v>
      </c>
      <c r="K350" s="5">
        <v>240</v>
      </c>
    </row>
    <row r="351" spans="1:11" x14ac:dyDescent="0.2">
      <c r="A351" t="s">
        <v>609</v>
      </c>
      <c r="B351" s="4">
        <v>46128</v>
      </c>
      <c r="C351" t="s">
        <v>485</v>
      </c>
      <c r="D351" t="s">
        <v>47</v>
      </c>
      <c r="E351" t="s">
        <v>35</v>
      </c>
      <c r="F351" t="s">
        <v>36</v>
      </c>
      <c r="G351" t="s">
        <v>37</v>
      </c>
      <c r="H351">
        <v>3</v>
      </c>
      <c r="I351" s="5">
        <v>35</v>
      </c>
      <c r="J351" t="s">
        <v>38</v>
      </c>
      <c r="K351" s="5">
        <v>105</v>
      </c>
    </row>
    <row r="352" spans="1:11" x14ac:dyDescent="0.2">
      <c r="A352" t="s">
        <v>610</v>
      </c>
      <c r="B352" s="4">
        <v>46129</v>
      </c>
      <c r="C352" t="s">
        <v>611</v>
      </c>
      <c r="D352" t="s">
        <v>47</v>
      </c>
      <c r="E352" t="s">
        <v>35</v>
      </c>
      <c r="F352" t="s">
        <v>36</v>
      </c>
      <c r="G352" t="s">
        <v>85</v>
      </c>
      <c r="H352">
        <v>1</v>
      </c>
      <c r="I352" s="5">
        <v>89</v>
      </c>
      <c r="J352" t="s">
        <v>61</v>
      </c>
      <c r="K352" s="5">
        <v>89</v>
      </c>
    </row>
    <row r="353" spans="1:11" x14ac:dyDescent="0.2">
      <c r="A353" t="s">
        <v>612</v>
      </c>
      <c r="B353" s="4">
        <v>46129</v>
      </c>
      <c r="C353" t="s">
        <v>394</v>
      </c>
      <c r="D353" t="s">
        <v>58</v>
      </c>
      <c r="E353" t="s">
        <v>42</v>
      </c>
      <c r="F353" t="s">
        <v>43</v>
      </c>
      <c r="G353" t="s">
        <v>44</v>
      </c>
      <c r="H353">
        <v>5</v>
      </c>
      <c r="I353" s="5">
        <v>103.95</v>
      </c>
      <c r="J353" t="s">
        <v>38</v>
      </c>
      <c r="K353" s="5">
        <v>519.75</v>
      </c>
    </row>
    <row r="354" spans="1:11" x14ac:dyDescent="0.2">
      <c r="A354" t="s">
        <v>613</v>
      </c>
      <c r="B354" s="4">
        <v>46129</v>
      </c>
      <c r="C354" t="s">
        <v>614</v>
      </c>
      <c r="D354" t="s">
        <v>47</v>
      </c>
      <c r="E354" t="s">
        <v>35</v>
      </c>
      <c r="F354" t="s">
        <v>59</v>
      </c>
      <c r="G354" t="s">
        <v>111</v>
      </c>
      <c r="H354">
        <v>1</v>
      </c>
      <c r="I354" s="5">
        <v>75</v>
      </c>
      <c r="J354" t="s">
        <v>38</v>
      </c>
      <c r="K354" s="5">
        <v>75</v>
      </c>
    </row>
    <row r="355" spans="1:11" x14ac:dyDescent="0.2">
      <c r="A355" t="s">
        <v>615</v>
      </c>
      <c r="B355" s="4">
        <v>46129</v>
      </c>
      <c r="C355" t="s">
        <v>616</v>
      </c>
      <c r="D355" t="s">
        <v>47</v>
      </c>
      <c r="E355" t="s">
        <v>91</v>
      </c>
      <c r="F355" t="s">
        <v>36</v>
      </c>
      <c r="G355" t="s">
        <v>122</v>
      </c>
      <c r="H355">
        <v>2</v>
      </c>
      <c r="I355" s="5">
        <v>25</v>
      </c>
      <c r="J355" t="s">
        <v>38</v>
      </c>
      <c r="K355" s="5">
        <v>50</v>
      </c>
    </row>
    <row r="356" spans="1:11" x14ac:dyDescent="0.2">
      <c r="A356" t="s">
        <v>617</v>
      </c>
      <c r="B356" s="4">
        <v>46130</v>
      </c>
      <c r="C356" t="s">
        <v>503</v>
      </c>
      <c r="D356" t="s">
        <v>58</v>
      </c>
      <c r="E356" t="s">
        <v>35</v>
      </c>
      <c r="F356" t="s">
        <v>36</v>
      </c>
      <c r="G356" t="s">
        <v>152</v>
      </c>
      <c r="H356">
        <v>4</v>
      </c>
      <c r="I356" s="5">
        <v>59</v>
      </c>
      <c r="J356" t="s">
        <v>38</v>
      </c>
      <c r="K356" s="5">
        <v>236</v>
      </c>
    </row>
    <row r="357" spans="1:11" x14ac:dyDescent="0.2">
      <c r="A357" t="s">
        <v>618</v>
      </c>
      <c r="B357" s="4">
        <v>46130</v>
      </c>
      <c r="C357" t="s">
        <v>263</v>
      </c>
      <c r="D357" t="s">
        <v>114</v>
      </c>
      <c r="E357" t="s">
        <v>35</v>
      </c>
      <c r="F357" t="s">
        <v>59</v>
      </c>
      <c r="G357" t="s">
        <v>60</v>
      </c>
      <c r="H357">
        <v>3</v>
      </c>
      <c r="I357" s="5">
        <v>120</v>
      </c>
      <c r="J357" t="s">
        <v>65</v>
      </c>
      <c r="K357" s="5">
        <v>360</v>
      </c>
    </row>
    <row r="358" spans="1:11" x14ac:dyDescent="0.2">
      <c r="A358" t="s">
        <v>619</v>
      </c>
      <c r="B358" s="4">
        <v>46131</v>
      </c>
      <c r="C358" t="s">
        <v>620</v>
      </c>
      <c r="D358" t="s">
        <v>114</v>
      </c>
      <c r="E358" t="s">
        <v>91</v>
      </c>
      <c r="F358" t="s">
        <v>43</v>
      </c>
      <c r="G358" t="s">
        <v>142</v>
      </c>
      <c r="H358">
        <v>1</v>
      </c>
      <c r="I358" s="5">
        <v>32</v>
      </c>
      <c r="J358" t="s">
        <v>38</v>
      </c>
      <c r="K358" s="5">
        <v>32</v>
      </c>
    </row>
    <row r="359" spans="1:11" x14ac:dyDescent="0.2">
      <c r="A359" t="s">
        <v>621</v>
      </c>
      <c r="B359" s="4">
        <v>46131</v>
      </c>
      <c r="C359" t="s">
        <v>550</v>
      </c>
      <c r="D359" t="s">
        <v>58</v>
      </c>
      <c r="E359" t="s">
        <v>35</v>
      </c>
      <c r="F359" t="s">
        <v>43</v>
      </c>
      <c r="G359" t="s">
        <v>142</v>
      </c>
      <c r="H359">
        <v>2</v>
      </c>
      <c r="I359" s="5">
        <v>33.6</v>
      </c>
      <c r="J359" t="s">
        <v>65</v>
      </c>
      <c r="K359" s="5">
        <v>67.2</v>
      </c>
    </row>
    <row r="360" spans="1:11" x14ac:dyDescent="0.2">
      <c r="A360" t="s">
        <v>622</v>
      </c>
      <c r="B360" s="4">
        <v>46132</v>
      </c>
      <c r="C360" t="s">
        <v>623</v>
      </c>
      <c r="D360" t="s">
        <v>34</v>
      </c>
      <c r="E360" t="s">
        <v>35</v>
      </c>
      <c r="F360" t="s">
        <v>36</v>
      </c>
      <c r="G360" t="s">
        <v>152</v>
      </c>
      <c r="H360">
        <v>1</v>
      </c>
      <c r="I360" s="5">
        <v>59</v>
      </c>
      <c r="J360" t="s">
        <v>61</v>
      </c>
      <c r="K360" s="5">
        <v>59</v>
      </c>
    </row>
    <row r="361" spans="1:11" x14ac:dyDescent="0.2">
      <c r="A361" t="s">
        <v>624</v>
      </c>
      <c r="B361" s="4">
        <v>46132</v>
      </c>
      <c r="C361" t="s">
        <v>271</v>
      </c>
      <c r="D361" t="s">
        <v>47</v>
      </c>
      <c r="E361" t="s">
        <v>42</v>
      </c>
      <c r="F361" t="s">
        <v>43</v>
      </c>
      <c r="G361" t="s">
        <v>77</v>
      </c>
      <c r="H361">
        <v>4</v>
      </c>
      <c r="I361" s="5">
        <v>47.25</v>
      </c>
      <c r="J361" t="s">
        <v>38</v>
      </c>
      <c r="K361" s="5">
        <v>189</v>
      </c>
    </row>
    <row r="362" spans="1:11" x14ac:dyDescent="0.2">
      <c r="A362" t="s">
        <v>625</v>
      </c>
      <c r="B362" s="4">
        <v>46133</v>
      </c>
      <c r="C362" t="s">
        <v>599</v>
      </c>
      <c r="D362" t="s">
        <v>58</v>
      </c>
      <c r="E362" t="s">
        <v>35</v>
      </c>
      <c r="F362" t="s">
        <v>71</v>
      </c>
      <c r="G362" t="s">
        <v>137</v>
      </c>
      <c r="H362">
        <v>2</v>
      </c>
      <c r="I362" s="5">
        <v>110</v>
      </c>
      <c r="J362" t="s">
        <v>61</v>
      </c>
      <c r="K362" s="5">
        <v>220</v>
      </c>
    </row>
    <row r="363" spans="1:11" x14ac:dyDescent="0.2">
      <c r="A363" t="s">
        <v>626</v>
      </c>
      <c r="B363" s="4">
        <v>46133</v>
      </c>
      <c r="C363" t="s">
        <v>627</v>
      </c>
      <c r="D363" t="s">
        <v>41</v>
      </c>
      <c r="E363" t="s">
        <v>35</v>
      </c>
      <c r="F363" t="s">
        <v>36</v>
      </c>
      <c r="G363" t="s">
        <v>122</v>
      </c>
      <c r="H363">
        <v>1</v>
      </c>
      <c r="I363" s="5">
        <v>25</v>
      </c>
      <c r="J363" t="s">
        <v>65</v>
      </c>
      <c r="K363" s="5">
        <v>25</v>
      </c>
    </row>
    <row r="364" spans="1:11" x14ac:dyDescent="0.2">
      <c r="A364" t="s">
        <v>628</v>
      </c>
      <c r="B364" s="4">
        <v>46133</v>
      </c>
      <c r="C364" t="s">
        <v>421</v>
      </c>
      <c r="D364" t="s">
        <v>47</v>
      </c>
      <c r="E364" t="s">
        <v>91</v>
      </c>
      <c r="F364" t="s">
        <v>51</v>
      </c>
      <c r="G364" t="s">
        <v>119</v>
      </c>
      <c r="H364">
        <v>2</v>
      </c>
      <c r="I364" s="5">
        <v>30</v>
      </c>
      <c r="J364" t="s">
        <v>38</v>
      </c>
      <c r="K364" s="5">
        <v>60</v>
      </c>
    </row>
    <row r="365" spans="1:11" x14ac:dyDescent="0.2">
      <c r="A365" t="s">
        <v>629</v>
      </c>
      <c r="B365" s="4">
        <v>46133</v>
      </c>
      <c r="C365" t="s">
        <v>118</v>
      </c>
      <c r="D365" t="s">
        <v>114</v>
      </c>
      <c r="E365" t="s">
        <v>91</v>
      </c>
      <c r="F365" t="s">
        <v>71</v>
      </c>
      <c r="G365" t="s">
        <v>137</v>
      </c>
      <c r="H365">
        <v>3</v>
      </c>
      <c r="I365" s="5">
        <v>110</v>
      </c>
      <c r="J365" t="s">
        <v>61</v>
      </c>
      <c r="K365" s="5">
        <v>330</v>
      </c>
    </row>
    <row r="366" spans="1:11" x14ac:dyDescent="0.2">
      <c r="A366" t="s">
        <v>630</v>
      </c>
      <c r="B366" s="4">
        <v>46133</v>
      </c>
      <c r="C366" t="s">
        <v>631</v>
      </c>
      <c r="D366" t="s">
        <v>41</v>
      </c>
      <c r="E366" t="s">
        <v>91</v>
      </c>
      <c r="F366" t="s">
        <v>51</v>
      </c>
      <c r="G366" t="s">
        <v>55</v>
      </c>
      <c r="H366">
        <v>4</v>
      </c>
      <c r="I366" s="5">
        <v>22</v>
      </c>
      <c r="J366" t="s">
        <v>61</v>
      </c>
      <c r="K366" s="5">
        <v>88</v>
      </c>
    </row>
    <row r="367" spans="1:11" x14ac:dyDescent="0.2">
      <c r="A367" t="s">
        <v>632</v>
      </c>
      <c r="B367" s="4">
        <v>46133</v>
      </c>
      <c r="C367" t="s">
        <v>259</v>
      </c>
      <c r="D367" t="s">
        <v>47</v>
      </c>
      <c r="E367" t="s">
        <v>35</v>
      </c>
      <c r="F367" t="s">
        <v>71</v>
      </c>
      <c r="G367" t="s">
        <v>95</v>
      </c>
      <c r="H367">
        <v>2</v>
      </c>
      <c r="I367" s="5">
        <v>18</v>
      </c>
      <c r="J367" t="s">
        <v>61</v>
      </c>
      <c r="K367" s="5">
        <v>36</v>
      </c>
    </row>
    <row r="368" spans="1:11" x14ac:dyDescent="0.2">
      <c r="A368" t="s">
        <v>633</v>
      </c>
      <c r="B368" s="4">
        <v>46135</v>
      </c>
      <c r="C368" t="s">
        <v>634</v>
      </c>
      <c r="D368" t="s">
        <v>114</v>
      </c>
      <c r="E368" t="s">
        <v>35</v>
      </c>
      <c r="F368" t="s">
        <v>59</v>
      </c>
      <c r="G368" t="s">
        <v>111</v>
      </c>
      <c r="H368">
        <v>1</v>
      </c>
      <c r="I368" s="5">
        <v>78.75</v>
      </c>
      <c r="J368" t="s">
        <v>38</v>
      </c>
      <c r="K368" s="5">
        <v>78.75</v>
      </c>
    </row>
    <row r="369" spans="1:11" x14ac:dyDescent="0.2">
      <c r="A369" t="s">
        <v>635</v>
      </c>
      <c r="B369" s="4">
        <v>46135</v>
      </c>
      <c r="C369" t="s">
        <v>223</v>
      </c>
      <c r="D369" t="s">
        <v>114</v>
      </c>
      <c r="E369" t="s">
        <v>42</v>
      </c>
      <c r="F369" t="s">
        <v>36</v>
      </c>
      <c r="G369" t="s">
        <v>68</v>
      </c>
      <c r="H369">
        <v>1</v>
      </c>
      <c r="I369" s="5">
        <v>79</v>
      </c>
      <c r="J369" t="s">
        <v>38</v>
      </c>
      <c r="K369" s="5">
        <v>79</v>
      </c>
    </row>
    <row r="370" spans="1:11" x14ac:dyDescent="0.2">
      <c r="A370" t="s">
        <v>636</v>
      </c>
      <c r="B370" s="4">
        <v>46135</v>
      </c>
      <c r="C370" t="s">
        <v>238</v>
      </c>
      <c r="D370" t="s">
        <v>114</v>
      </c>
      <c r="E370" t="s">
        <v>35</v>
      </c>
      <c r="F370" t="s">
        <v>71</v>
      </c>
      <c r="G370" t="s">
        <v>72</v>
      </c>
      <c r="H370">
        <v>2</v>
      </c>
      <c r="I370" s="5">
        <v>49.5</v>
      </c>
      <c r="J370" t="s">
        <v>61</v>
      </c>
      <c r="K370" s="5">
        <v>99</v>
      </c>
    </row>
    <row r="371" spans="1:11" x14ac:dyDescent="0.2">
      <c r="A371" t="s">
        <v>637</v>
      </c>
      <c r="B371" s="4">
        <v>46135</v>
      </c>
      <c r="C371" t="s">
        <v>638</v>
      </c>
      <c r="D371" t="s">
        <v>47</v>
      </c>
      <c r="E371" t="s">
        <v>42</v>
      </c>
      <c r="F371" t="s">
        <v>36</v>
      </c>
      <c r="G371" t="s">
        <v>68</v>
      </c>
      <c r="H371">
        <v>1</v>
      </c>
      <c r="I371" s="5">
        <v>79</v>
      </c>
      <c r="J371" t="s">
        <v>61</v>
      </c>
      <c r="K371" s="5">
        <v>79</v>
      </c>
    </row>
    <row r="372" spans="1:11" x14ac:dyDescent="0.2">
      <c r="A372" t="s">
        <v>639</v>
      </c>
      <c r="B372" s="4">
        <v>46135</v>
      </c>
      <c r="C372" t="s">
        <v>161</v>
      </c>
      <c r="D372" t="s">
        <v>41</v>
      </c>
      <c r="E372" t="s">
        <v>35</v>
      </c>
      <c r="F372" t="s">
        <v>71</v>
      </c>
      <c r="G372" t="s">
        <v>95</v>
      </c>
      <c r="H372">
        <v>5</v>
      </c>
      <c r="I372" s="5">
        <v>20</v>
      </c>
      <c r="J372" t="s">
        <v>61</v>
      </c>
      <c r="K372" s="5">
        <v>100</v>
      </c>
    </row>
    <row r="373" spans="1:11" x14ac:dyDescent="0.2">
      <c r="A373" t="s">
        <v>640</v>
      </c>
      <c r="B373" s="4">
        <v>46135</v>
      </c>
      <c r="C373" t="s">
        <v>40</v>
      </c>
      <c r="D373" t="s">
        <v>58</v>
      </c>
      <c r="E373" t="s">
        <v>35</v>
      </c>
      <c r="F373" t="s">
        <v>71</v>
      </c>
      <c r="G373" t="s">
        <v>92</v>
      </c>
      <c r="H373">
        <v>3</v>
      </c>
      <c r="I373" s="5">
        <v>65</v>
      </c>
      <c r="J373" t="s">
        <v>38</v>
      </c>
      <c r="K373" s="5">
        <v>195</v>
      </c>
    </row>
    <row r="374" spans="1:11" x14ac:dyDescent="0.2">
      <c r="A374" t="s">
        <v>641</v>
      </c>
      <c r="B374" s="4">
        <v>46136</v>
      </c>
      <c r="C374" t="s">
        <v>236</v>
      </c>
      <c r="D374" t="s">
        <v>47</v>
      </c>
      <c r="E374" t="s">
        <v>42</v>
      </c>
      <c r="F374" t="s">
        <v>36</v>
      </c>
      <c r="G374" t="s">
        <v>85</v>
      </c>
      <c r="H374">
        <v>1</v>
      </c>
      <c r="I374" s="5">
        <v>93.45</v>
      </c>
      <c r="J374" t="s">
        <v>38</v>
      </c>
      <c r="K374" s="5">
        <v>93.45</v>
      </c>
    </row>
    <row r="375" spans="1:11" x14ac:dyDescent="0.2">
      <c r="A375" t="s">
        <v>642</v>
      </c>
      <c r="B375" s="4">
        <v>46136</v>
      </c>
      <c r="C375" t="s">
        <v>373</v>
      </c>
      <c r="D375" t="s">
        <v>47</v>
      </c>
      <c r="E375" t="s">
        <v>35</v>
      </c>
      <c r="F375" t="s">
        <v>51</v>
      </c>
      <c r="G375" t="s">
        <v>55</v>
      </c>
      <c r="H375">
        <v>2</v>
      </c>
      <c r="I375" s="5">
        <v>22</v>
      </c>
      <c r="J375" t="s">
        <v>38</v>
      </c>
      <c r="K375" s="5">
        <v>44</v>
      </c>
    </row>
    <row r="376" spans="1:11" x14ac:dyDescent="0.2">
      <c r="A376" t="s">
        <v>643</v>
      </c>
      <c r="B376" s="4">
        <v>46136</v>
      </c>
      <c r="C376" t="s">
        <v>451</v>
      </c>
      <c r="D376" t="s">
        <v>47</v>
      </c>
      <c r="E376" t="s">
        <v>91</v>
      </c>
      <c r="F376" t="s">
        <v>59</v>
      </c>
      <c r="G376" t="s">
        <v>111</v>
      </c>
      <c r="H376">
        <v>1</v>
      </c>
      <c r="I376" s="5">
        <v>75</v>
      </c>
      <c r="J376" t="s">
        <v>38</v>
      </c>
      <c r="K376" s="5">
        <v>75</v>
      </c>
    </row>
    <row r="377" spans="1:11" x14ac:dyDescent="0.2">
      <c r="A377" t="s">
        <v>644</v>
      </c>
      <c r="B377" s="4">
        <v>46137</v>
      </c>
      <c r="C377" t="s">
        <v>459</v>
      </c>
      <c r="D377" t="s">
        <v>41</v>
      </c>
      <c r="E377" t="s">
        <v>91</v>
      </c>
      <c r="F377" t="s">
        <v>36</v>
      </c>
      <c r="G377" t="s">
        <v>68</v>
      </c>
      <c r="H377">
        <v>2</v>
      </c>
      <c r="I377" s="5">
        <v>79</v>
      </c>
      <c r="J377" t="s">
        <v>38</v>
      </c>
      <c r="K377" s="5">
        <v>158</v>
      </c>
    </row>
    <row r="378" spans="1:11" x14ac:dyDescent="0.2">
      <c r="A378" t="s">
        <v>645</v>
      </c>
      <c r="B378" s="4">
        <v>46137</v>
      </c>
      <c r="C378" t="s">
        <v>554</v>
      </c>
      <c r="D378" t="s">
        <v>47</v>
      </c>
      <c r="E378" t="s">
        <v>91</v>
      </c>
      <c r="F378" t="s">
        <v>71</v>
      </c>
      <c r="G378" t="s">
        <v>88</v>
      </c>
      <c r="H378">
        <v>1</v>
      </c>
      <c r="I378" s="5">
        <v>78.75</v>
      </c>
      <c r="J378" t="s">
        <v>38</v>
      </c>
      <c r="K378" s="5">
        <v>78.75</v>
      </c>
    </row>
    <row r="379" spans="1:11" x14ac:dyDescent="0.2">
      <c r="A379" t="s">
        <v>646</v>
      </c>
      <c r="B379" s="4">
        <v>46137</v>
      </c>
      <c r="C379" t="s">
        <v>647</v>
      </c>
      <c r="D379" t="s">
        <v>58</v>
      </c>
      <c r="E379" t="s">
        <v>91</v>
      </c>
      <c r="F379" t="s">
        <v>43</v>
      </c>
      <c r="G379" t="s">
        <v>44</v>
      </c>
      <c r="H379">
        <v>2</v>
      </c>
      <c r="I379" s="5">
        <v>89.1</v>
      </c>
      <c r="J379" t="s">
        <v>38</v>
      </c>
      <c r="K379" s="5">
        <v>178.2</v>
      </c>
    </row>
    <row r="380" spans="1:11" x14ac:dyDescent="0.2">
      <c r="A380" t="s">
        <v>648</v>
      </c>
      <c r="B380" s="4">
        <v>46137</v>
      </c>
      <c r="C380" t="s">
        <v>596</v>
      </c>
      <c r="D380" t="s">
        <v>47</v>
      </c>
      <c r="E380" t="s">
        <v>35</v>
      </c>
      <c r="F380" t="s">
        <v>36</v>
      </c>
      <c r="G380" t="s">
        <v>85</v>
      </c>
      <c r="H380">
        <v>2</v>
      </c>
      <c r="I380" s="5">
        <v>89</v>
      </c>
      <c r="J380" t="s">
        <v>38</v>
      </c>
      <c r="K380" s="5">
        <v>178</v>
      </c>
    </row>
    <row r="381" spans="1:11" x14ac:dyDescent="0.2">
      <c r="A381" t="s">
        <v>649</v>
      </c>
      <c r="B381" s="4">
        <v>46137</v>
      </c>
      <c r="C381" t="s">
        <v>650</v>
      </c>
      <c r="D381" t="s">
        <v>41</v>
      </c>
      <c r="E381" t="s">
        <v>91</v>
      </c>
      <c r="F381" t="s">
        <v>43</v>
      </c>
      <c r="G381" t="s">
        <v>48</v>
      </c>
      <c r="H381">
        <v>1</v>
      </c>
      <c r="I381" s="5">
        <v>161.1</v>
      </c>
      <c r="J381" t="s">
        <v>65</v>
      </c>
      <c r="K381" s="5">
        <v>161.1</v>
      </c>
    </row>
    <row r="382" spans="1:11" x14ac:dyDescent="0.2">
      <c r="A382" t="s">
        <v>651</v>
      </c>
      <c r="B382" s="4">
        <v>46138</v>
      </c>
      <c r="C382" t="s">
        <v>652</v>
      </c>
      <c r="D382" t="s">
        <v>47</v>
      </c>
      <c r="E382" t="s">
        <v>42</v>
      </c>
      <c r="F382" t="s">
        <v>43</v>
      </c>
      <c r="G382" t="s">
        <v>142</v>
      </c>
      <c r="H382">
        <v>1</v>
      </c>
      <c r="I382" s="5">
        <v>28.8</v>
      </c>
      <c r="J382" t="s">
        <v>65</v>
      </c>
      <c r="K382" s="5">
        <v>28.8</v>
      </c>
    </row>
    <row r="383" spans="1:11" x14ac:dyDescent="0.2">
      <c r="A383" t="s">
        <v>653</v>
      </c>
      <c r="B383" s="4">
        <v>46138</v>
      </c>
      <c r="C383" t="s">
        <v>358</v>
      </c>
      <c r="D383" t="s">
        <v>34</v>
      </c>
      <c r="E383" t="s">
        <v>35</v>
      </c>
      <c r="F383" t="s">
        <v>43</v>
      </c>
      <c r="G383" t="s">
        <v>44</v>
      </c>
      <c r="H383">
        <v>1</v>
      </c>
      <c r="I383" s="5">
        <v>89.1</v>
      </c>
      <c r="J383" t="s">
        <v>65</v>
      </c>
      <c r="K383" s="5">
        <v>89.1</v>
      </c>
    </row>
    <row r="384" spans="1:11" x14ac:dyDescent="0.2">
      <c r="A384" t="s">
        <v>654</v>
      </c>
      <c r="B384" s="4">
        <v>46138</v>
      </c>
      <c r="C384" t="s">
        <v>655</v>
      </c>
      <c r="D384" t="s">
        <v>47</v>
      </c>
      <c r="E384" t="s">
        <v>42</v>
      </c>
      <c r="F384" t="s">
        <v>43</v>
      </c>
      <c r="G384" t="s">
        <v>142</v>
      </c>
      <c r="H384">
        <v>1</v>
      </c>
      <c r="I384" s="5">
        <v>28.8</v>
      </c>
      <c r="J384" t="s">
        <v>38</v>
      </c>
      <c r="K384" s="5">
        <v>28.8</v>
      </c>
    </row>
    <row r="385" spans="1:11" x14ac:dyDescent="0.2">
      <c r="A385" t="s">
        <v>656</v>
      </c>
      <c r="B385" s="4">
        <v>46139</v>
      </c>
      <c r="C385" t="s">
        <v>657</v>
      </c>
      <c r="D385" t="s">
        <v>34</v>
      </c>
      <c r="E385" t="s">
        <v>35</v>
      </c>
      <c r="F385" t="s">
        <v>71</v>
      </c>
      <c r="G385" t="s">
        <v>72</v>
      </c>
      <c r="H385">
        <v>1</v>
      </c>
      <c r="I385" s="5">
        <v>55</v>
      </c>
      <c r="J385" t="s">
        <v>38</v>
      </c>
      <c r="K385" s="5">
        <v>55</v>
      </c>
    </row>
    <row r="386" spans="1:11" x14ac:dyDescent="0.2">
      <c r="A386" t="s">
        <v>658</v>
      </c>
      <c r="B386" s="4">
        <v>46139</v>
      </c>
      <c r="C386" t="s">
        <v>503</v>
      </c>
      <c r="D386" t="s">
        <v>47</v>
      </c>
      <c r="E386" t="s">
        <v>42</v>
      </c>
      <c r="F386" t="s">
        <v>36</v>
      </c>
      <c r="G386" t="s">
        <v>37</v>
      </c>
      <c r="H386">
        <v>1</v>
      </c>
      <c r="I386" s="5">
        <v>35</v>
      </c>
      <c r="J386" t="s">
        <v>38</v>
      </c>
      <c r="K386" s="5">
        <v>35</v>
      </c>
    </row>
    <row r="387" spans="1:11" x14ac:dyDescent="0.2">
      <c r="A387" t="s">
        <v>659</v>
      </c>
      <c r="B387" s="4">
        <v>46139</v>
      </c>
      <c r="C387" t="s">
        <v>169</v>
      </c>
      <c r="D387" t="s">
        <v>47</v>
      </c>
      <c r="E387" t="s">
        <v>91</v>
      </c>
      <c r="F387" t="s">
        <v>51</v>
      </c>
      <c r="G387" t="s">
        <v>52</v>
      </c>
      <c r="H387">
        <v>1</v>
      </c>
      <c r="I387" s="5">
        <v>40.5</v>
      </c>
      <c r="J387" t="s">
        <v>61</v>
      </c>
      <c r="K387" s="5">
        <v>40.5</v>
      </c>
    </row>
    <row r="388" spans="1:11" x14ac:dyDescent="0.2">
      <c r="A388" t="s">
        <v>660</v>
      </c>
      <c r="B388" s="4">
        <v>46139</v>
      </c>
      <c r="C388" t="s">
        <v>118</v>
      </c>
      <c r="D388" t="s">
        <v>58</v>
      </c>
      <c r="E388" t="s">
        <v>35</v>
      </c>
      <c r="F388" t="s">
        <v>43</v>
      </c>
      <c r="G388" t="s">
        <v>77</v>
      </c>
      <c r="H388">
        <v>3</v>
      </c>
      <c r="I388" s="5">
        <v>45</v>
      </c>
      <c r="J388" t="s">
        <v>38</v>
      </c>
      <c r="K388" s="5">
        <v>135</v>
      </c>
    </row>
    <row r="389" spans="1:11" x14ac:dyDescent="0.2">
      <c r="A389" t="s">
        <v>661</v>
      </c>
      <c r="B389" s="4">
        <v>46139</v>
      </c>
      <c r="C389" t="s">
        <v>411</v>
      </c>
      <c r="D389" t="s">
        <v>58</v>
      </c>
      <c r="E389" t="s">
        <v>35</v>
      </c>
      <c r="F389" t="s">
        <v>43</v>
      </c>
      <c r="G389" t="s">
        <v>77</v>
      </c>
      <c r="H389">
        <v>3</v>
      </c>
      <c r="I389" s="5">
        <v>45</v>
      </c>
      <c r="J389" t="s">
        <v>38</v>
      </c>
      <c r="K389" s="5">
        <v>135</v>
      </c>
    </row>
    <row r="390" spans="1:11" x14ac:dyDescent="0.2">
      <c r="A390" t="s">
        <v>662</v>
      </c>
      <c r="B390" s="4">
        <v>46140</v>
      </c>
      <c r="C390" t="s">
        <v>663</v>
      </c>
      <c r="D390" t="s">
        <v>41</v>
      </c>
      <c r="E390" t="s">
        <v>35</v>
      </c>
      <c r="F390" t="s">
        <v>51</v>
      </c>
      <c r="G390" t="s">
        <v>99</v>
      </c>
      <c r="H390">
        <v>1</v>
      </c>
      <c r="I390" s="5">
        <v>18.899999999999999</v>
      </c>
      <c r="J390" t="s">
        <v>61</v>
      </c>
      <c r="K390" s="5">
        <v>18.899999999999999</v>
      </c>
    </row>
    <row r="391" spans="1:11" x14ac:dyDescent="0.2">
      <c r="A391" t="s">
        <v>664</v>
      </c>
      <c r="B391" s="4">
        <v>46140</v>
      </c>
      <c r="C391" t="s">
        <v>634</v>
      </c>
      <c r="D391" t="s">
        <v>47</v>
      </c>
      <c r="E391" t="s">
        <v>42</v>
      </c>
      <c r="F391" t="s">
        <v>59</v>
      </c>
      <c r="G391" t="s">
        <v>60</v>
      </c>
      <c r="H391">
        <v>1</v>
      </c>
      <c r="I391" s="5">
        <v>108</v>
      </c>
      <c r="J391" t="s">
        <v>38</v>
      </c>
      <c r="K391" s="5">
        <v>108</v>
      </c>
    </row>
    <row r="392" spans="1:11" x14ac:dyDescent="0.2">
      <c r="A392" t="s">
        <v>665</v>
      </c>
      <c r="B392" s="4">
        <v>46140</v>
      </c>
      <c r="C392" t="s">
        <v>46</v>
      </c>
      <c r="D392" t="s">
        <v>47</v>
      </c>
      <c r="E392" t="s">
        <v>91</v>
      </c>
      <c r="F392" t="s">
        <v>36</v>
      </c>
      <c r="G392" t="s">
        <v>68</v>
      </c>
      <c r="H392">
        <v>4</v>
      </c>
      <c r="I392" s="5">
        <v>79</v>
      </c>
      <c r="J392" t="s">
        <v>38</v>
      </c>
      <c r="K392" s="5">
        <v>316</v>
      </c>
    </row>
    <row r="393" spans="1:11" x14ac:dyDescent="0.2">
      <c r="A393" t="s">
        <v>666</v>
      </c>
      <c r="B393" s="4">
        <v>46140</v>
      </c>
      <c r="C393" t="s">
        <v>209</v>
      </c>
      <c r="D393" t="s">
        <v>47</v>
      </c>
      <c r="E393" t="s">
        <v>35</v>
      </c>
      <c r="F393" t="s">
        <v>43</v>
      </c>
      <c r="G393" t="s">
        <v>142</v>
      </c>
      <c r="H393">
        <v>3</v>
      </c>
      <c r="I393" s="5">
        <v>28.8</v>
      </c>
      <c r="J393" t="s">
        <v>38</v>
      </c>
      <c r="K393" s="5">
        <v>86.4</v>
      </c>
    </row>
    <row r="394" spans="1:11" x14ac:dyDescent="0.2">
      <c r="A394" t="s">
        <v>667</v>
      </c>
      <c r="B394" s="4">
        <v>46140</v>
      </c>
      <c r="C394" t="s">
        <v>167</v>
      </c>
      <c r="D394" t="s">
        <v>47</v>
      </c>
      <c r="E394" t="s">
        <v>35</v>
      </c>
      <c r="F394" t="s">
        <v>43</v>
      </c>
      <c r="G394" t="s">
        <v>142</v>
      </c>
      <c r="H394">
        <v>1</v>
      </c>
      <c r="I394" s="5">
        <v>32</v>
      </c>
      <c r="J394" t="s">
        <v>61</v>
      </c>
      <c r="K394" s="5">
        <v>32</v>
      </c>
    </row>
    <row r="395" spans="1:11" x14ac:dyDescent="0.2">
      <c r="A395" t="s">
        <v>668</v>
      </c>
      <c r="B395" s="4">
        <v>46141</v>
      </c>
      <c r="C395" t="s">
        <v>87</v>
      </c>
      <c r="D395" t="s">
        <v>34</v>
      </c>
      <c r="E395" t="s">
        <v>42</v>
      </c>
      <c r="F395" t="s">
        <v>36</v>
      </c>
      <c r="G395" t="s">
        <v>37</v>
      </c>
      <c r="H395">
        <v>2</v>
      </c>
      <c r="I395" s="5">
        <v>35</v>
      </c>
      <c r="J395" t="s">
        <v>38</v>
      </c>
      <c r="K395" s="5">
        <v>70</v>
      </c>
    </row>
    <row r="396" spans="1:11" x14ac:dyDescent="0.2">
      <c r="A396" t="s">
        <v>669</v>
      </c>
      <c r="B396" s="4">
        <v>46141</v>
      </c>
      <c r="C396" t="s">
        <v>110</v>
      </c>
      <c r="D396" t="s">
        <v>41</v>
      </c>
      <c r="E396" t="s">
        <v>42</v>
      </c>
      <c r="F396" t="s">
        <v>51</v>
      </c>
      <c r="G396" t="s">
        <v>55</v>
      </c>
      <c r="H396">
        <v>1</v>
      </c>
      <c r="I396" s="5">
        <v>22</v>
      </c>
      <c r="J396" t="s">
        <v>38</v>
      </c>
      <c r="K396" s="5">
        <v>22</v>
      </c>
    </row>
    <row r="397" spans="1:11" x14ac:dyDescent="0.2">
      <c r="A397" t="s">
        <v>670</v>
      </c>
      <c r="B397" s="4">
        <v>46141</v>
      </c>
      <c r="C397" t="s">
        <v>671</v>
      </c>
      <c r="D397" t="s">
        <v>47</v>
      </c>
      <c r="E397" t="s">
        <v>42</v>
      </c>
      <c r="F397" t="s">
        <v>71</v>
      </c>
      <c r="G397" t="s">
        <v>88</v>
      </c>
      <c r="H397">
        <v>4</v>
      </c>
      <c r="I397" s="5">
        <v>67.5</v>
      </c>
      <c r="J397" t="s">
        <v>38</v>
      </c>
      <c r="K397" s="5">
        <v>270</v>
      </c>
    </row>
    <row r="398" spans="1:11" x14ac:dyDescent="0.2">
      <c r="A398" t="s">
        <v>672</v>
      </c>
      <c r="B398" s="4">
        <v>46141</v>
      </c>
      <c r="C398" t="s">
        <v>449</v>
      </c>
      <c r="D398" t="s">
        <v>58</v>
      </c>
      <c r="E398" t="s">
        <v>35</v>
      </c>
      <c r="F398" t="s">
        <v>71</v>
      </c>
      <c r="G398" t="s">
        <v>88</v>
      </c>
      <c r="H398">
        <v>2</v>
      </c>
      <c r="I398" s="5">
        <v>75</v>
      </c>
      <c r="J398" t="s">
        <v>38</v>
      </c>
      <c r="K398" s="5">
        <v>150</v>
      </c>
    </row>
    <row r="399" spans="1:11" x14ac:dyDescent="0.2">
      <c r="A399" t="s">
        <v>673</v>
      </c>
      <c r="B399" s="4">
        <v>46141</v>
      </c>
      <c r="C399" t="s">
        <v>674</v>
      </c>
      <c r="D399" t="s">
        <v>47</v>
      </c>
      <c r="E399" t="s">
        <v>35</v>
      </c>
      <c r="F399" t="s">
        <v>36</v>
      </c>
      <c r="G399" t="s">
        <v>85</v>
      </c>
      <c r="H399">
        <v>3</v>
      </c>
      <c r="I399" s="5">
        <v>89</v>
      </c>
      <c r="J399" t="s">
        <v>38</v>
      </c>
      <c r="K399" s="5">
        <v>267</v>
      </c>
    </row>
    <row r="400" spans="1:11" x14ac:dyDescent="0.2">
      <c r="A400" t="s">
        <v>675</v>
      </c>
      <c r="B400" s="4">
        <v>46142</v>
      </c>
      <c r="C400" t="s">
        <v>444</v>
      </c>
      <c r="D400" t="s">
        <v>58</v>
      </c>
      <c r="E400" t="s">
        <v>35</v>
      </c>
      <c r="F400" t="s">
        <v>71</v>
      </c>
      <c r="G400" t="s">
        <v>88</v>
      </c>
      <c r="H400">
        <v>2</v>
      </c>
      <c r="I400" s="5">
        <v>78.75</v>
      </c>
      <c r="J400" t="s">
        <v>65</v>
      </c>
      <c r="K400" s="5">
        <v>157.5</v>
      </c>
    </row>
    <row r="401" spans="1:11" x14ac:dyDescent="0.2">
      <c r="A401" t="s">
        <v>676</v>
      </c>
      <c r="B401" s="4">
        <v>46142</v>
      </c>
      <c r="C401" t="s">
        <v>677</v>
      </c>
      <c r="D401" t="s">
        <v>47</v>
      </c>
      <c r="E401" t="s">
        <v>91</v>
      </c>
      <c r="F401" t="s">
        <v>51</v>
      </c>
      <c r="G401" t="s">
        <v>155</v>
      </c>
      <c r="H401">
        <v>3</v>
      </c>
      <c r="I401" s="5">
        <v>60</v>
      </c>
      <c r="J401" t="s">
        <v>38</v>
      </c>
      <c r="K401" s="5">
        <v>180</v>
      </c>
    </row>
    <row r="402" spans="1:11" x14ac:dyDescent="0.2">
      <c r="A402" t="s">
        <v>678</v>
      </c>
      <c r="B402" s="4">
        <v>46142</v>
      </c>
      <c r="C402" t="s">
        <v>679</v>
      </c>
      <c r="D402" t="s">
        <v>47</v>
      </c>
      <c r="E402" t="s">
        <v>91</v>
      </c>
      <c r="F402" t="s">
        <v>36</v>
      </c>
      <c r="G402" t="s">
        <v>37</v>
      </c>
      <c r="H402">
        <v>3</v>
      </c>
      <c r="I402" s="5">
        <v>35</v>
      </c>
      <c r="J402" t="s">
        <v>38</v>
      </c>
      <c r="K402" s="5">
        <v>105</v>
      </c>
    </row>
    <row r="403" spans="1:11" x14ac:dyDescent="0.2">
      <c r="A403" t="s">
        <v>680</v>
      </c>
      <c r="B403" s="4">
        <v>46142</v>
      </c>
      <c r="C403" t="s">
        <v>505</v>
      </c>
      <c r="D403" t="s">
        <v>47</v>
      </c>
      <c r="E403" t="s">
        <v>35</v>
      </c>
      <c r="F403" t="s">
        <v>59</v>
      </c>
      <c r="G403" t="s">
        <v>64</v>
      </c>
      <c r="H403">
        <v>5</v>
      </c>
      <c r="I403" s="5">
        <v>18</v>
      </c>
      <c r="J403" t="s">
        <v>38</v>
      </c>
      <c r="K403" s="5">
        <v>90</v>
      </c>
    </row>
    <row r="404" spans="1:11" x14ac:dyDescent="0.2">
      <c r="A404" t="s">
        <v>681</v>
      </c>
      <c r="B404" s="4">
        <v>46142</v>
      </c>
      <c r="C404" t="s">
        <v>63</v>
      </c>
      <c r="D404" t="s">
        <v>41</v>
      </c>
      <c r="E404" t="s">
        <v>35</v>
      </c>
      <c r="F404" t="s">
        <v>36</v>
      </c>
      <c r="G404" t="s">
        <v>152</v>
      </c>
      <c r="H404">
        <v>3</v>
      </c>
      <c r="I404" s="5">
        <v>59</v>
      </c>
      <c r="J404" t="s">
        <v>38</v>
      </c>
      <c r="K404" s="5">
        <v>177</v>
      </c>
    </row>
    <row r="405" spans="1:11" x14ac:dyDescent="0.2">
      <c r="A405" t="s">
        <v>682</v>
      </c>
      <c r="B405" s="4">
        <v>46143</v>
      </c>
      <c r="C405" t="s">
        <v>46</v>
      </c>
      <c r="D405" t="s">
        <v>34</v>
      </c>
      <c r="E405" t="s">
        <v>42</v>
      </c>
      <c r="F405" t="s">
        <v>71</v>
      </c>
      <c r="G405" t="s">
        <v>92</v>
      </c>
      <c r="H405">
        <v>2</v>
      </c>
      <c r="I405" s="5">
        <v>58.5</v>
      </c>
      <c r="J405" t="s">
        <v>38</v>
      </c>
      <c r="K405" s="5">
        <v>117</v>
      </c>
    </row>
    <row r="406" spans="1:11" x14ac:dyDescent="0.2">
      <c r="A406" t="s">
        <v>683</v>
      </c>
      <c r="B406" s="4">
        <v>46143</v>
      </c>
      <c r="C406" t="s">
        <v>379</v>
      </c>
      <c r="D406" t="s">
        <v>41</v>
      </c>
      <c r="E406" t="s">
        <v>35</v>
      </c>
      <c r="F406" t="s">
        <v>59</v>
      </c>
      <c r="G406" t="s">
        <v>60</v>
      </c>
      <c r="H406">
        <v>2</v>
      </c>
      <c r="I406" s="5">
        <v>108</v>
      </c>
      <c r="J406" t="s">
        <v>61</v>
      </c>
      <c r="K406" s="5">
        <v>216</v>
      </c>
    </row>
    <row r="407" spans="1:11" x14ac:dyDescent="0.2">
      <c r="A407" t="s">
        <v>684</v>
      </c>
      <c r="B407" s="4">
        <v>46144</v>
      </c>
      <c r="C407" t="s">
        <v>263</v>
      </c>
      <c r="D407" t="s">
        <v>47</v>
      </c>
      <c r="E407" t="s">
        <v>35</v>
      </c>
      <c r="F407" t="s">
        <v>51</v>
      </c>
      <c r="G407" t="s">
        <v>52</v>
      </c>
      <c r="H407">
        <v>1</v>
      </c>
      <c r="I407" s="5">
        <v>45</v>
      </c>
      <c r="J407" t="s">
        <v>38</v>
      </c>
      <c r="K407" s="5">
        <v>45</v>
      </c>
    </row>
    <row r="408" spans="1:11" x14ac:dyDescent="0.2">
      <c r="A408" t="s">
        <v>685</v>
      </c>
      <c r="B408" s="4">
        <v>46144</v>
      </c>
      <c r="C408" t="s">
        <v>465</v>
      </c>
      <c r="D408" t="s">
        <v>47</v>
      </c>
      <c r="E408" t="s">
        <v>35</v>
      </c>
      <c r="F408" t="s">
        <v>51</v>
      </c>
      <c r="G408" t="s">
        <v>99</v>
      </c>
      <c r="H408">
        <v>1</v>
      </c>
      <c r="I408" s="5">
        <v>18</v>
      </c>
      <c r="J408" t="s">
        <v>38</v>
      </c>
      <c r="K408" s="5">
        <v>18</v>
      </c>
    </row>
    <row r="409" spans="1:11" x14ac:dyDescent="0.2">
      <c r="A409" t="s">
        <v>686</v>
      </c>
      <c r="B409" s="4">
        <v>46145</v>
      </c>
      <c r="C409" t="s">
        <v>647</v>
      </c>
      <c r="D409" t="s">
        <v>114</v>
      </c>
      <c r="E409" t="s">
        <v>91</v>
      </c>
      <c r="F409" t="s">
        <v>36</v>
      </c>
      <c r="G409" t="s">
        <v>68</v>
      </c>
      <c r="H409">
        <v>1</v>
      </c>
      <c r="I409" s="5">
        <v>71.099999999999994</v>
      </c>
      <c r="J409" t="s">
        <v>38</v>
      </c>
      <c r="K409" s="5">
        <v>71.099999999999994</v>
      </c>
    </row>
    <row r="410" spans="1:11" x14ac:dyDescent="0.2">
      <c r="A410" t="s">
        <v>687</v>
      </c>
      <c r="B410" s="4">
        <v>46145</v>
      </c>
      <c r="C410" t="s">
        <v>483</v>
      </c>
      <c r="D410" t="s">
        <v>41</v>
      </c>
      <c r="E410" t="s">
        <v>42</v>
      </c>
      <c r="F410" t="s">
        <v>59</v>
      </c>
      <c r="G410" t="s">
        <v>111</v>
      </c>
      <c r="H410">
        <v>5</v>
      </c>
      <c r="I410" s="5">
        <v>78.75</v>
      </c>
      <c r="J410" t="s">
        <v>38</v>
      </c>
      <c r="K410" s="5">
        <v>393.75</v>
      </c>
    </row>
    <row r="411" spans="1:11" x14ac:dyDescent="0.2">
      <c r="A411" t="s">
        <v>688</v>
      </c>
      <c r="B411" s="4">
        <v>46146</v>
      </c>
      <c r="C411" t="s">
        <v>129</v>
      </c>
      <c r="D411" t="s">
        <v>114</v>
      </c>
      <c r="E411" t="s">
        <v>91</v>
      </c>
      <c r="F411" t="s">
        <v>36</v>
      </c>
      <c r="G411" t="s">
        <v>37</v>
      </c>
      <c r="H411">
        <v>3</v>
      </c>
      <c r="I411" s="5">
        <v>31.5</v>
      </c>
      <c r="J411" t="s">
        <v>38</v>
      </c>
      <c r="K411" s="5">
        <v>94.5</v>
      </c>
    </row>
    <row r="412" spans="1:11" x14ac:dyDescent="0.2">
      <c r="A412" t="s">
        <v>689</v>
      </c>
      <c r="B412" s="4">
        <v>46146</v>
      </c>
      <c r="C412" t="s">
        <v>54</v>
      </c>
      <c r="D412" t="s">
        <v>47</v>
      </c>
      <c r="E412" t="s">
        <v>42</v>
      </c>
      <c r="F412" t="s">
        <v>51</v>
      </c>
      <c r="G412" t="s">
        <v>99</v>
      </c>
      <c r="H412">
        <v>1</v>
      </c>
      <c r="I412" s="5">
        <v>18</v>
      </c>
      <c r="J412" t="s">
        <v>38</v>
      </c>
      <c r="K412" s="5">
        <v>18</v>
      </c>
    </row>
    <row r="413" spans="1:11" x14ac:dyDescent="0.2">
      <c r="A413" t="s">
        <v>690</v>
      </c>
      <c r="B413" s="4">
        <v>46146</v>
      </c>
      <c r="C413" t="s">
        <v>250</v>
      </c>
      <c r="D413" t="s">
        <v>47</v>
      </c>
      <c r="E413" t="s">
        <v>42</v>
      </c>
      <c r="F413" t="s">
        <v>43</v>
      </c>
      <c r="G413" t="s">
        <v>77</v>
      </c>
      <c r="H413">
        <v>5</v>
      </c>
      <c r="I413" s="5">
        <v>40.5</v>
      </c>
      <c r="J413" t="s">
        <v>691</v>
      </c>
      <c r="K413" s="5">
        <v>202.5</v>
      </c>
    </row>
    <row r="414" spans="1:11" x14ac:dyDescent="0.2">
      <c r="A414" t="s">
        <v>692</v>
      </c>
      <c r="B414" s="4">
        <v>46146</v>
      </c>
      <c r="C414" t="s">
        <v>565</v>
      </c>
      <c r="D414" t="s">
        <v>34</v>
      </c>
      <c r="E414" t="s">
        <v>91</v>
      </c>
      <c r="F414" t="s">
        <v>43</v>
      </c>
      <c r="G414" t="s">
        <v>44</v>
      </c>
      <c r="H414">
        <v>2</v>
      </c>
      <c r="I414" s="5">
        <v>89.1</v>
      </c>
      <c r="J414" t="s">
        <v>38</v>
      </c>
      <c r="K414" s="5">
        <v>178.2</v>
      </c>
    </row>
    <row r="415" spans="1:11" x14ac:dyDescent="0.2">
      <c r="A415" t="s">
        <v>693</v>
      </c>
      <c r="B415" s="4">
        <v>46147</v>
      </c>
      <c r="C415" t="s">
        <v>694</v>
      </c>
      <c r="D415" t="s">
        <v>47</v>
      </c>
      <c r="E415" t="s">
        <v>91</v>
      </c>
      <c r="F415" t="s">
        <v>36</v>
      </c>
      <c r="G415" t="s">
        <v>37</v>
      </c>
      <c r="H415">
        <v>2</v>
      </c>
      <c r="I415" s="5">
        <v>36.75</v>
      </c>
      <c r="J415" t="s">
        <v>38</v>
      </c>
      <c r="K415" s="5">
        <v>73.5</v>
      </c>
    </row>
    <row r="416" spans="1:11" x14ac:dyDescent="0.2">
      <c r="A416" t="s">
        <v>695</v>
      </c>
      <c r="B416" s="4">
        <v>46147</v>
      </c>
      <c r="C416" t="s">
        <v>696</v>
      </c>
      <c r="D416" t="s">
        <v>47</v>
      </c>
      <c r="E416" t="s">
        <v>91</v>
      </c>
      <c r="F416" t="s">
        <v>59</v>
      </c>
      <c r="G416" t="s">
        <v>106</v>
      </c>
      <c r="H416">
        <v>1</v>
      </c>
      <c r="I416" s="5">
        <v>29.4</v>
      </c>
      <c r="J416" t="s">
        <v>38</v>
      </c>
      <c r="K416" s="5">
        <v>29.4</v>
      </c>
    </row>
    <row r="417" spans="1:11" x14ac:dyDescent="0.2">
      <c r="A417" t="s">
        <v>697</v>
      </c>
      <c r="B417" s="4">
        <v>46147</v>
      </c>
      <c r="C417" t="s">
        <v>189</v>
      </c>
      <c r="D417" t="s">
        <v>58</v>
      </c>
      <c r="E417" t="s">
        <v>42</v>
      </c>
      <c r="F417" t="s">
        <v>43</v>
      </c>
      <c r="G417" t="s">
        <v>44</v>
      </c>
      <c r="H417">
        <v>5</v>
      </c>
      <c r="I417" s="5">
        <v>99</v>
      </c>
      <c r="J417" t="s">
        <v>38</v>
      </c>
      <c r="K417" s="5">
        <v>495</v>
      </c>
    </row>
    <row r="418" spans="1:11" x14ac:dyDescent="0.2">
      <c r="A418" t="s">
        <v>698</v>
      </c>
      <c r="B418" s="4">
        <v>46147</v>
      </c>
      <c r="C418" t="s">
        <v>211</v>
      </c>
      <c r="D418" t="s">
        <v>58</v>
      </c>
      <c r="E418" t="s">
        <v>35</v>
      </c>
      <c r="F418" t="s">
        <v>43</v>
      </c>
      <c r="G418" t="s">
        <v>48</v>
      </c>
      <c r="H418">
        <v>1</v>
      </c>
      <c r="I418" s="5">
        <v>161.1</v>
      </c>
      <c r="J418" t="s">
        <v>38</v>
      </c>
      <c r="K418" s="5">
        <v>161.1</v>
      </c>
    </row>
    <row r="419" spans="1:11" x14ac:dyDescent="0.2">
      <c r="A419" t="s">
        <v>699</v>
      </c>
      <c r="B419" s="4">
        <v>46147</v>
      </c>
      <c r="C419" t="s">
        <v>677</v>
      </c>
      <c r="D419" t="s">
        <v>34</v>
      </c>
      <c r="E419" t="s">
        <v>91</v>
      </c>
      <c r="F419" t="s">
        <v>36</v>
      </c>
      <c r="G419" t="s">
        <v>122</v>
      </c>
      <c r="H419">
        <v>5</v>
      </c>
      <c r="I419" s="5">
        <v>25</v>
      </c>
      <c r="J419" t="s">
        <v>61</v>
      </c>
      <c r="K419" s="5">
        <v>125</v>
      </c>
    </row>
    <row r="420" spans="1:11" x14ac:dyDescent="0.2">
      <c r="A420" t="s">
        <v>700</v>
      </c>
      <c r="B420" s="4">
        <v>46147</v>
      </c>
      <c r="C420" t="s">
        <v>341</v>
      </c>
      <c r="D420" t="s">
        <v>58</v>
      </c>
      <c r="E420" t="s">
        <v>35</v>
      </c>
      <c r="F420" t="s">
        <v>36</v>
      </c>
      <c r="G420" t="s">
        <v>122</v>
      </c>
      <c r="H420">
        <v>1</v>
      </c>
      <c r="I420" s="5">
        <v>22.5</v>
      </c>
      <c r="J420" t="s">
        <v>61</v>
      </c>
      <c r="K420" s="5">
        <v>22.5</v>
      </c>
    </row>
    <row r="421" spans="1:11" x14ac:dyDescent="0.2">
      <c r="A421" t="s">
        <v>701</v>
      </c>
      <c r="B421" s="4">
        <v>46147</v>
      </c>
      <c r="C421" t="s">
        <v>176</v>
      </c>
      <c r="D421" t="s">
        <v>34</v>
      </c>
      <c r="E421" t="s">
        <v>91</v>
      </c>
      <c r="F421" t="s">
        <v>51</v>
      </c>
      <c r="G421" t="s">
        <v>155</v>
      </c>
      <c r="H421">
        <v>2</v>
      </c>
      <c r="I421" s="5">
        <v>54</v>
      </c>
      <c r="J421" t="s">
        <v>38</v>
      </c>
      <c r="K421" s="5">
        <v>108</v>
      </c>
    </row>
    <row r="422" spans="1:11" x14ac:dyDescent="0.2">
      <c r="A422" t="s">
        <v>702</v>
      </c>
      <c r="B422" s="4">
        <v>46148</v>
      </c>
      <c r="C422" t="s">
        <v>696</v>
      </c>
      <c r="D422" t="s">
        <v>58</v>
      </c>
      <c r="E422" t="s">
        <v>42</v>
      </c>
      <c r="F422" t="s">
        <v>36</v>
      </c>
      <c r="G422" t="s">
        <v>68</v>
      </c>
      <c r="H422">
        <v>1</v>
      </c>
      <c r="I422" s="5">
        <v>71.099999999999994</v>
      </c>
      <c r="J422" t="s">
        <v>38</v>
      </c>
      <c r="K422" s="5">
        <v>71.099999999999994</v>
      </c>
    </row>
    <row r="423" spans="1:11" x14ac:dyDescent="0.2">
      <c r="A423" t="s">
        <v>703</v>
      </c>
      <c r="B423" s="4">
        <v>46148</v>
      </c>
      <c r="C423" t="s">
        <v>463</v>
      </c>
      <c r="D423" t="s">
        <v>34</v>
      </c>
      <c r="E423" t="s">
        <v>35</v>
      </c>
      <c r="F423" t="s">
        <v>51</v>
      </c>
      <c r="G423" t="s">
        <v>52</v>
      </c>
      <c r="H423">
        <v>4</v>
      </c>
      <c r="I423" s="5">
        <v>40.5</v>
      </c>
      <c r="J423" t="s">
        <v>38</v>
      </c>
      <c r="K423" s="5">
        <v>162</v>
      </c>
    </row>
    <row r="424" spans="1:11" x14ac:dyDescent="0.2">
      <c r="A424" t="s">
        <v>704</v>
      </c>
      <c r="B424" s="4">
        <v>46148</v>
      </c>
      <c r="C424" t="s">
        <v>151</v>
      </c>
      <c r="D424" t="s">
        <v>58</v>
      </c>
      <c r="E424" t="s">
        <v>35</v>
      </c>
      <c r="F424" t="s">
        <v>43</v>
      </c>
      <c r="G424" t="s">
        <v>44</v>
      </c>
      <c r="H424">
        <v>3</v>
      </c>
      <c r="I424" s="5">
        <v>103.95</v>
      </c>
      <c r="J424" t="s">
        <v>65</v>
      </c>
      <c r="K424" s="5">
        <v>311.85000000000002</v>
      </c>
    </row>
    <row r="425" spans="1:11" x14ac:dyDescent="0.2">
      <c r="A425" t="s">
        <v>705</v>
      </c>
      <c r="B425" s="4">
        <v>46148</v>
      </c>
      <c r="C425" t="s">
        <v>706</v>
      </c>
      <c r="D425" t="s">
        <v>41</v>
      </c>
      <c r="E425" t="s">
        <v>42</v>
      </c>
      <c r="F425" t="s">
        <v>36</v>
      </c>
      <c r="G425" t="s">
        <v>152</v>
      </c>
      <c r="H425">
        <v>4</v>
      </c>
      <c r="I425" s="5">
        <v>59</v>
      </c>
      <c r="J425" t="s">
        <v>38</v>
      </c>
      <c r="K425" s="5">
        <v>236</v>
      </c>
    </row>
    <row r="426" spans="1:11" x14ac:dyDescent="0.2">
      <c r="A426" t="s">
        <v>707</v>
      </c>
      <c r="B426" s="4">
        <v>46149</v>
      </c>
      <c r="C426" t="s">
        <v>444</v>
      </c>
      <c r="D426" t="s">
        <v>47</v>
      </c>
      <c r="E426" t="s">
        <v>35</v>
      </c>
      <c r="F426" t="s">
        <v>71</v>
      </c>
      <c r="G426" t="s">
        <v>95</v>
      </c>
      <c r="H426">
        <v>1</v>
      </c>
      <c r="I426" s="5">
        <v>20</v>
      </c>
      <c r="J426" t="s">
        <v>38</v>
      </c>
      <c r="K426" s="5">
        <v>20</v>
      </c>
    </row>
    <row r="427" spans="1:11" x14ac:dyDescent="0.2">
      <c r="A427" t="s">
        <v>708</v>
      </c>
      <c r="B427" s="4">
        <v>46150</v>
      </c>
      <c r="C427" t="s">
        <v>225</v>
      </c>
      <c r="D427" t="s">
        <v>58</v>
      </c>
      <c r="E427" t="s">
        <v>42</v>
      </c>
      <c r="F427" t="s">
        <v>36</v>
      </c>
      <c r="G427" t="s">
        <v>85</v>
      </c>
      <c r="H427">
        <v>2</v>
      </c>
      <c r="I427" s="5">
        <v>89</v>
      </c>
      <c r="J427" t="s">
        <v>61</v>
      </c>
      <c r="K427" s="5">
        <v>178</v>
      </c>
    </row>
    <row r="428" spans="1:11" x14ac:dyDescent="0.2">
      <c r="A428" t="s">
        <v>709</v>
      </c>
      <c r="B428" s="4">
        <v>46150</v>
      </c>
      <c r="C428" t="s">
        <v>40</v>
      </c>
      <c r="D428" t="s">
        <v>34</v>
      </c>
      <c r="E428" t="s">
        <v>35</v>
      </c>
      <c r="F428" t="s">
        <v>36</v>
      </c>
      <c r="G428" t="s">
        <v>68</v>
      </c>
      <c r="H428">
        <v>1</v>
      </c>
      <c r="I428" s="5">
        <v>79</v>
      </c>
      <c r="J428" t="s">
        <v>38</v>
      </c>
      <c r="K428" s="5">
        <v>79</v>
      </c>
    </row>
    <row r="429" spans="1:11" x14ac:dyDescent="0.2">
      <c r="A429" t="s">
        <v>710</v>
      </c>
      <c r="B429" s="4">
        <v>46151</v>
      </c>
      <c r="C429" t="s">
        <v>116</v>
      </c>
      <c r="D429" t="s">
        <v>47</v>
      </c>
      <c r="E429" t="s">
        <v>42</v>
      </c>
      <c r="F429" t="s">
        <v>36</v>
      </c>
      <c r="G429" t="s">
        <v>68</v>
      </c>
      <c r="H429">
        <v>3</v>
      </c>
      <c r="I429" s="5">
        <v>71.099999999999994</v>
      </c>
      <c r="J429" t="s">
        <v>38</v>
      </c>
      <c r="K429" s="5">
        <v>213.3</v>
      </c>
    </row>
    <row r="430" spans="1:11" x14ac:dyDescent="0.2">
      <c r="A430" t="s">
        <v>711</v>
      </c>
      <c r="B430" s="4">
        <v>46151</v>
      </c>
      <c r="C430" t="s">
        <v>189</v>
      </c>
      <c r="D430" t="s">
        <v>114</v>
      </c>
      <c r="E430" t="s">
        <v>42</v>
      </c>
      <c r="F430" t="s">
        <v>36</v>
      </c>
      <c r="G430" t="s">
        <v>85</v>
      </c>
      <c r="H430">
        <v>3</v>
      </c>
      <c r="I430" s="5">
        <v>93.45</v>
      </c>
      <c r="J430" t="s">
        <v>61</v>
      </c>
      <c r="K430" s="5">
        <v>280.35000000000002</v>
      </c>
    </row>
    <row r="431" spans="1:11" x14ac:dyDescent="0.2">
      <c r="A431" t="s">
        <v>712</v>
      </c>
      <c r="B431" s="4">
        <v>46151</v>
      </c>
      <c r="C431" t="s">
        <v>713</v>
      </c>
      <c r="D431" t="s">
        <v>47</v>
      </c>
      <c r="E431" t="s">
        <v>35</v>
      </c>
      <c r="F431" t="s">
        <v>43</v>
      </c>
      <c r="G431" t="s">
        <v>48</v>
      </c>
      <c r="H431">
        <v>2</v>
      </c>
      <c r="I431" s="5">
        <v>161.1</v>
      </c>
      <c r="J431" t="s">
        <v>38</v>
      </c>
      <c r="K431" s="5">
        <v>322.2</v>
      </c>
    </row>
    <row r="432" spans="1:11" x14ac:dyDescent="0.2">
      <c r="A432" t="s">
        <v>714</v>
      </c>
      <c r="B432" s="4">
        <v>46151</v>
      </c>
      <c r="C432" t="s">
        <v>419</v>
      </c>
      <c r="D432" t="s">
        <v>47</v>
      </c>
      <c r="E432" t="s">
        <v>91</v>
      </c>
      <c r="F432" t="s">
        <v>43</v>
      </c>
      <c r="G432" t="s">
        <v>142</v>
      </c>
      <c r="H432">
        <v>2</v>
      </c>
      <c r="I432" s="5">
        <v>33.6</v>
      </c>
      <c r="J432" t="s">
        <v>38</v>
      </c>
      <c r="K432" s="5">
        <v>67.2</v>
      </c>
    </row>
    <row r="433" spans="1:11" x14ac:dyDescent="0.2">
      <c r="A433" t="s">
        <v>715</v>
      </c>
      <c r="B433" s="4">
        <v>46152</v>
      </c>
      <c r="C433" t="s">
        <v>671</v>
      </c>
      <c r="D433" t="s">
        <v>47</v>
      </c>
      <c r="E433" t="s">
        <v>35</v>
      </c>
      <c r="F433" t="s">
        <v>36</v>
      </c>
      <c r="G433" t="s">
        <v>122</v>
      </c>
      <c r="H433">
        <v>2</v>
      </c>
      <c r="I433" s="5">
        <v>25</v>
      </c>
      <c r="J433" t="s">
        <v>38</v>
      </c>
      <c r="K433" s="5">
        <v>50</v>
      </c>
    </row>
    <row r="434" spans="1:11" x14ac:dyDescent="0.2">
      <c r="A434" t="s">
        <v>716</v>
      </c>
      <c r="B434" s="4">
        <v>46152</v>
      </c>
      <c r="C434" t="s">
        <v>163</v>
      </c>
      <c r="D434" t="s">
        <v>114</v>
      </c>
      <c r="E434" t="s">
        <v>42</v>
      </c>
      <c r="F434" t="s">
        <v>71</v>
      </c>
      <c r="G434" t="s">
        <v>137</v>
      </c>
      <c r="H434">
        <v>1</v>
      </c>
      <c r="I434" s="5">
        <v>115.5</v>
      </c>
      <c r="J434" t="s">
        <v>38</v>
      </c>
      <c r="K434" s="5">
        <v>115.5</v>
      </c>
    </row>
    <row r="435" spans="1:11" x14ac:dyDescent="0.2">
      <c r="A435" t="s">
        <v>717</v>
      </c>
      <c r="B435" s="4">
        <v>46152</v>
      </c>
      <c r="C435" t="s">
        <v>565</v>
      </c>
      <c r="D435" t="s">
        <v>58</v>
      </c>
      <c r="E435" t="s">
        <v>35</v>
      </c>
      <c r="F435" t="s">
        <v>59</v>
      </c>
      <c r="G435" t="s">
        <v>80</v>
      </c>
      <c r="H435">
        <v>2</v>
      </c>
      <c r="I435" s="5">
        <v>35</v>
      </c>
      <c r="J435" t="s">
        <v>38</v>
      </c>
      <c r="K435" s="5">
        <v>70</v>
      </c>
    </row>
    <row r="436" spans="1:11" x14ac:dyDescent="0.2">
      <c r="A436" t="s">
        <v>718</v>
      </c>
      <c r="B436" s="4">
        <v>46153</v>
      </c>
      <c r="C436" t="s">
        <v>74</v>
      </c>
      <c r="D436" t="s">
        <v>41</v>
      </c>
      <c r="E436" t="s">
        <v>91</v>
      </c>
      <c r="F436" t="s">
        <v>51</v>
      </c>
      <c r="G436" t="s">
        <v>155</v>
      </c>
      <c r="H436">
        <v>1</v>
      </c>
      <c r="I436" s="5">
        <v>60</v>
      </c>
      <c r="J436" t="s">
        <v>38</v>
      </c>
      <c r="K436" s="5">
        <v>60</v>
      </c>
    </row>
    <row r="437" spans="1:11" x14ac:dyDescent="0.2">
      <c r="A437" t="s">
        <v>719</v>
      </c>
      <c r="B437" s="4">
        <v>46153</v>
      </c>
      <c r="C437" t="s">
        <v>269</v>
      </c>
      <c r="D437" t="s">
        <v>47</v>
      </c>
      <c r="E437" t="s">
        <v>42</v>
      </c>
      <c r="F437" t="s">
        <v>59</v>
      </c>
      <c r="G437" t="s">
        <v>80</v>
      </c>
      <c r="H437">
        <v>1</v>
      </c>
      <c r="I437" s="5">
        <v>35</v>
      </c>
      <c r="J437" t="s">
        <v>38</v>
      </c>
      <c r="K437" s="5">
        <v>35</v>
      </c>
    </row>
    <row r="438" spans="1:11" x14ac:dyDescent="0.2">
      <c r="A438" t="s">
        <v>720</v>
      </c>
      <c r="B438" s="4">
        <v>46154</v>
      </c>
      <c r="C438" t="s">
        <v>271</v>
      </c>
      <c r="D438" t="s">
        <v>58</v>
      </c>
      <c r="E438" t="s">
        <v>91</v>
      </c>
      <c r="F438" t="s">
        <v>71</v>
      </c>
      <c r="G438" t="s">
        <v>92</v>
      </c>
      <c r="H438">
        <v>3</v>
      </c>
      <c r="I438" s="5">
        <v>58.5</v>
      </c>
      <c r="J438" t="s">
        <v>38</v>
      </c>
      <c r="K438" s="5">
        <v>175.5</v>
      </c>
    </row>
    <row r="439" spans="1:11" x14ac:dyDescent="0.2">
      <c r="A439" t="s">
        <v>721</v>
      </c>
      <c r="B439" s="4">
        <v>46155</v>
      </c>
      <c r="C439" t="s">
        <v>248</v>
      </c>
      <c r="D439" t="s">
        <v>41</v>
      </c>
      <c r="E439" t="s">
        <v>35</v>
      </c>
      <c r="F439" t="s">
        <v>36</v>
      </c>
      <c r="G439" t="s">
        <v>152</v>
      </c>
      <c r="H439">
        <v>1</v>
      </c>
      <c r="I439" s="5">
        <v>59</v>
      </c>
      <c r="J439" t="s">
        <v>61</v>
      </c>
      <c r="K439" s="5">
        <v>59</v>
      </c>
    </row>
    <row r="440" spans="1:11" x14ac:dyDescent="0.2">
      <c r="A440" t="s">
        <v>722</v>
      </c>
      <c r="B440" s="4">
        <v>46155</v>
      </c>
      <c r="C440" t="s">
        <v>325</v>
      </c>
      <c r="D440" t="s">
        <v>58</v>
      </c>
      <c r="E440" t="s">
        <v>42</v>
      </c>
      <c r="F440" t="s">
        <v>43</v>
      </c>
      <c r="G440" t="s">
        <v>142</v>
      </c>
      <c r="H440">
        <v>1</v>
      </c>
      <c r="I440" s="5">
        <v>32</v>
      </c>
      <c r="J440" t="s">
        <v>61</v>
      </c>
      <c r="K440" s="5">
        <v>32</v>
      </c>
    </row>
    <row r="441" spans="1:11" x14ac:dyDescent="0.2">
      <c r="A441" t="s">
        <v>723</v>
      </c>
      <c r="B441" s="4">
        <v>46155</v>
      </c>
      <c r="C441" t="s">
        <v>724</v>
      </c>
      <c r="D441" t="s">
        <v>114</v>
      </c>
      <c r="E441" t="s">
        <v>91</v>
      </c>
      <c r="F441" t="s">
        <v>71</v>
      </c>
      <c r="G441" t="s">
        <v>92</v>
      </c>
      <c r="H441">
        <v>2</v>
      </c>
      <c r="I441" s="5">
        <v>65</v>
      </c>
      <c r="J441" t="s">
        <v>61</v>
      </c>
      <c r="K441" s="5">
        <v>130</v>
      </c>
    </row>
    <row r="442" spans="1:11" x14ac:dyDescent="0.2">
      <c r="A442" t="s">
        <v>725</v>
      </c>
      <c r="B442" s="4">
        <v>46156</v>
      </c>
      <c r="C442" t="s">
        <v>169</v>
      </c>
      <c r="D442" t="s">
        <v>58</v>
      </c>
      <c r="E442" t="s">
        <v>35</v>
      </c>
      <c r="F442" t="s">
        <v>36</v>
      </c>
      <c r="G442" t="s">
        <v>85</v>
      </c>
      <c r="H442">
        <v>1</v>
      </c>
      <c r="I442" s="5">
        <v>89</v>
      </c>
      <c r="J442" t="s">
        <v>65</v>
      </c>
      <c r="K442" s="5">
        <v>89</v>
      </c>
    </row>
    <row r="443" spans="1:11" x14ac:dyDescent="0.2">
      <c r="A443" t="s">
        <v>726</v>
      </c>
      <c r="B443" s="4">
        <v>46156</v>
      </c>
      <c r="C443" t="s">
        <v>623</v>
      </c>
      <c r="D443" t="s">
        <v>34</v>
      </c>
      <c r="E443" t="s">
        <v>91</v>
      </c>
      <c r="F443" t="s">
        <v>43</v>
      </c>
      <c r="G443" t="s">
        <v>77</v>
      </c>
      <c r="H443">
        <v>1</v>
      </c>
      <c r="I443" s="5">
        <v>45</v>
      </c>
      <c r="J443" t="s">
        <v>38</v>
      </c>
      <c r="K443" s="5">
        <v>45</v>
      </c>
    </row>
    <row r="444" spans="1:11" x14ac:dyDescent="0.2">
      <c r="A444" t="s">
        <v>727</v>
      </c>
      <c r="B444" s="4">
        <v>46156</v>
      </c>
      <c r="C444" t="s">
        <v>76</v>
      </c>
      <c r="D444" t="s">
        <v>47</v>
      </c>
      <c r="E444" t="s">
        <v>35</v>
      </c>
      <c r="F444" t="s">
        <v>36</v>
      </c>
      <c r="G444" t="s">
        <v>122</v>
      </c>
      <c r="H444">
        <v>2</v>
      </c>
      <c r="I444" s="5">
        <v>25</v>
      </c>
      <c r="J444" t="s">
        <v>61</v>
      </c>
      <c r="K444" s="5">
        <v>50</v>
      </c>
    </row>
    <row r="445" spans="1:11" x14ac:dyDescent="0.2">
      <c r="A445" t="s">
        <v>728</v>
      </c>
      <c r="B445" s="4">
        <v>46156</v>
      </c>
      <c r="C445" t="s">
        <v>611</v>
      </c>
      <c r="D445" t="s">
        <v>58</v>
      </c>
      <c r="E445" t="s">
        <v>35</v>
      </c>
      <c r="F445" t="s">
        <v>43</v>
      </c>
      <c r="G445" t="s">
        <v>142</v>
      </c>
      <c r="H445">
        <v>1</v>
      </c>
      <c r="I445" s="5">
        <v>32</v>
      </c>
      <c r="J445" t="s">
        <v>38</v>
      </c>
      <c r="K445" s="5">
        <v>32</v>
      </c>
    </row>
    <row r="446" spans="1:11" x14ac:dyDescent="0.2">
      <c r="A446" t="s">
        <v>729</v>
      </c>
      <c r="B446" s="4">
        <v>46156</v>
      </c>
      <c r="C446" t="s">
        <v>730</v>
      </c>
      <c r="D446" t="s">
        <v>47</v>
      </c>
      <c r="E446" t="s">
        <v>35</v>
      </c>
      <c r="F446" t="s">
        <v>36</v>
      </c>
      <c r="G446" t="s">
        <v>152</v>
      </c>
      <c r="H446">
        <v>2</v>
      </c>
      <c r="I446" s="5">
        <v>61.95</v>
      </c>
      <c r="J446" t="s">
        <v>38</v>
      </c>
      <c r="K446" s="5">
        <v>123.9</v>
      </c>
    </row>
    <row r="447" spans="1:11" x14ac:dyDescent="0.2">
      <c r="A447" t="s">
        <v>731</v>
      </c>
      <c r="B447" s="4">
        <v>46156</v>
      </c>
      <c r="C447" t="s">
        <v>127</v>
      </c>
      <c r="D447" t="s">
        <v>114</v>
      </c>
      <c r="E447" t="s">
        <v>35</v>
      </c>
      <c r="F447" t="s">
        <v>59</v>
      </c>
      <c r="G447" t="s">
        <v>60</v>
      </c>
      <c r="H447">
        <v>1</v>
      </c>
      <c r="I447" s="5">
        <v>120</v>
      </c>
      <c r="J447" t="s">
        <v>61</v>
      </c>
      <c r="K447" s="5">
        <v>120</v>
      </c>
    </row>
    <row r="448" spans="1:11" x14ac:dyDescent="0.2">
      <c r="A448" t="s">
        <v>732</v>
      </c>
      <c r="B448" s="4">
        <v>46156</v>
      </c>
      <c r="C448" t="s">
        <v>228</v>
      </c>
      <c r="D448" t="s">
        <v>47</v>
      </c>
      <c r="E448" t="s">
        <v>35</v>
      </c>
      <c r="F448" t="s">
        <v>36</v>
      </c>
      <c r="G448" t="s">
        <v>152</v>
      </c>
      <c r="H448">
        <v>4</v>
      </c>
      <c r="I448" s="5">
        <v>61.95</v>
      </c>
      <c r="J448" t="s">
        <v>61</v>
      </c>
      <c r="K448" s="5">
        <v>247.8</v>
      </c>
    </row>
    <row r="449" spans="1:11" x14ac:dyDescent="0.2">
      <c r="A449" t="s">
        <v>733</v>
      </c>
      <c r="B449" s="4">
        <v>46156</v>
      </c>
      <c r="C449" t="s">
        <v>671</v>
      </c>
      <c r="D449" t="s">
        <v>47</v>
      </c>
      <c r="E449" t="s">
        <v>35</v>
      </c>
      <c r="F449" t="s">
        <v>71</v>
      </c>
      <c r="G449" t="s">
        <v>95</v>
      </c>
      <c r="H449">
        <v>1</v>
      </c>
      <c r="I449" s="5">
        <v>20</v>
      </c>
      <c r="J449" t="s">
        <v>38</v>
      </c>
      <c r="K449" s="5">
        <v>20</v>
      </c>
    </row>
    <row r="450" spans="1:11" x14ac:dyDescent="0.2">
      <c r="A450" t="s">
        <v>734</v>
      </c>
      <c r="B450" s="4">
        <v>46157</v>
      </c>
      <c r="C450" t="s">
        <v>171</v>
      </c>
      <c r="D450" t="s">
        <v>47</v>
      </c>
      <c r="E450" t="s">
        <v>35</v>
      </c>
      <c r="F450" t="s">
        <v>71</v>
      </c>
      <c r="G450" t="s">
        <v>88</v>
      </c>
      <c r="H450">
        <v>1</v>
      </c>
      <c r="I450" s="5">
        <v>75</v>
      </c>
      <c r="J450" t="s">
        <v>38</v>
      </c>
      <c r="K450" s="5">
        <v>75</v>
      </c>
    </row>
    <row r="451" spans="1:11" x14ac:dyDescent="0.2">
      <c r="A451" t="s">
        <v>735</v>
      </c>
      <c r="B451" s="4">
        <v>46158</v>
      </c>
      <c r="C451" t="s">
        <v>736</v>
      </c>
      <c r="D451" t="s">
        <v>114</v>
      </c>
      <c r="E451" t="s">
        <v>42</v>
      </c>
      <c r="F451" t="s">
        <v>59</v>
      </c>
      <c r="G451" t="s">
        <v>106</v>
      </c>
      <c r="H451">
        <v>1</v>
      </c>
      <c r="I451" s="5">
        <v>25.2</v>
      </c>
      <c r="J451" t="s">
        <v>65</v>
      </c>
      <c r="K451" s="5">
        <v>25.2</v>
      </c>
    </row>
    <row r="452" spans="1:11" x14ac:dyDescent="0.2">
      <c r="A452" t="s">
        <v>737</v>
      </c>
      <c r="B452" s="4">
        <v>46158</v>
      </c>
      <c r="C452" t="s">
        <v>314</v>
      </c>
      <c r="D452" t="s">
        <v>47</v>
      </c>
      <c r="E452" t="s">
        <v>42</v>
      </c>
      <c r="F452" t="s">
        <v>51</v>
      </c>
      <c r="G452" t="s">
        <v>119</v>
      </c>
      <c r="H452">
        <v>5</v>
      </c>
      <c r="I452" s="5">
        <v>30</v>
      </c>
      <c r="J452" t="s">
        <v>61</v>
      </c>
      <c r="K452" s="5">
        <v>150</v>
      </c>
    </row>
    <row r="453" spans="1:11" x14ac:dyDescent="0.2">
      <c r="A453" t="s">
        <v>738</v>
      </c>
      <c r="B453" s="4">
        <v>46158</v>
      </c>
      <c r="C453" t="s">
        <v>451</v>
      </c>
      <c r="D453" t="s">
        <v>41</v>
      </c>
      <c r="E453" t="s">
        <v>35</v>
      </c>
      <c r="F453" t="s">
        <v>43</v>
      </c>
      <c r="G453" t="s">
        <v>77</v>
      </c>
      <c r="H453">
        <v>2</v>
      </c>
      <c r="I453" s="5">
        <v>40.5</v>
      </c>
      <c r="J453" t="s">
        <v>38</v>
      </c>
      <c r="K453" s="5">
        <v>81</v>
      </c>
    </row>
    <row r="454" spans="1:11" x14ac:dyDescent="0.2">
      <c r="A454" t="s">
        <v>739</v>
      </c>
      <c r="B454" s="4">
        <v>46158</v>
      </c>
      <c r="C454" t="s">
        <v>196</v>
      </c>
      <c r="D454" t="s">
        <v>47</v>
      </c>
      <c r="E454" t="s">
        <v>35</v>
      </c>
      <c r="F454" t="s">
        <v>36</v>
      </c>
      <c r="G454" t="s">
        <v>122</v>
      </c>
      <c r="H454">
        <v>2</v>
      </c>
      <c r="I454" s="5">
        <v>25</v>
      </c>
      <c r="J454" t="s">
        <v>65</v>
      </c>
      <c r="K454" s="5">
        <v>50</v>
      </c>
    </row>
    <row r="455" spans="1:11" x14ac:dyDescent="0.2">
      <c r="A455" t="s">
        <v>740</v>
      </c>
      <c r="B455" s="4">
        <v>46158</v>
      </c>
      <c r="C455" t="s">
        <v>125</v>
      </c>
      <c r="D455" t="s">
        <v>47</v>
      </c>
      <c r="E455" t="s">
        <v>42</v>
      </c>
      <c r="F455" t="s">
        <v>43</v>
      </c>
      <c r="G455" t="s">
        <v>77</v>
      </c>
      <c r="H455">
        <v>1</v>
      </c>
      <c r="I455" s="5">
        <v>45</v>
      </c>
      <c r="J455" t="s">
        <v>61</v>
      </c>
      <c r="K455" s="5">
        <v>45</v>
      </c>
    </row>
    <row r="456" spans="1:11" x14ac:dyDescent="0.2">
      <c r="A456" t="s">
        <v>741</v>
      </c>
      <c r="B456" s="4">
        <v>46159</v>
      </c>
      <c r="C456" t="s">
        <v>706</v>
      </c>
      <c r="D456" t="s">
        <v>47</v>
      </c>
      <c r="E456" t="s">
        <v>35</v>
      </c>
      <c r="F456" t="s">
        <v>59</v>
      </c>
      <c r="G456" t="s">
        <v>60</v>
      </c>
      <c r="H456">
        <v>1</v>
      </c>
      <c r="I456" s="5">
        <v>126</v>
      </c>
      <c r="J456" t="s">
        <v>38</v>
      </c>
      <c r="K456" s="5">
        <v>126</v>
      </c>
    </row>
    <row r="457" spans="1:11" x14ac:dyDescent="0.2">
      <c r="A457" t="s">
        <v>742</v>
      </c>
      <c r="B457" s="4">
        <v>46160</v>
      </c>
      <c r="C457" t="s">
        <v>736</v>
      </c>
      <c r="D457" t="s">
        <v>47</v>
      </c>
      <c r="E457" t="s">
        <v>35</v>
      </c>
      <c r="F457" t="s">
        <v>59</v>
      </c>
      <c r="G457" t="s">
        <v>80</v>
      </c>
      <c r="H457">
        <v>1</v>
      </c>
      <c r="I457" s="5">
        <v>35</v>
      </c>
      <c r="J457" t="s">
        <v>61</v>
      </c>
      <c r="K457" s="5">
        <v>35</v>
      </c>
    </row>
    <row r="458" spans="1:11" x14ac:dyDescent="0.2">
      <c r="A458" t="s">
        <v>743</v>
      </c>
      <c r="B458" s="4">
        <v>46160</v>
      </c>
      <c r="C458" t="s">
        <v>214</v>
      </c>
      <c r="D458" t="s">
        <v>58</v>
      </c>
      <c r="E458" t="s">
        <v>35</v>
      </c>
      <c r="F458" t="s">
        <v>71</v>
      </c>
      <c r="G458" t="s">
        <v>95</v>
      </c>
      <c r="H458">
        <v>2</v>
      </c>
      <c r="I458" s="5">
        <v>20</v>
      </c>
      <c r="J458" t="s">
        <v>65</v>
      </c>
      <c r="K458" s="5">
        <v>40</v>
      </c>
    </row>
    <row r="459" spans="1:11" x14ac:dyDescent="0.2">
      <c r="A459" t="s">
        <v>744</v>
      </c>
      <c r="B459" s="4">
        <v>46160</v>
      </c>
      <c r="C459" t="s">
        <v>745</v>
      </c>
      <c r="D459" t="s">
        <v>34</v>
      </c>
      <c r="E459" t="s">
        <v>35</v>
      </c>
      <c r="F459" t="s">
        <v>43</v>
      </c>
      <c r="G459" t="s">
        <v>83</v>
      </c>
      <c r="H459">
        <v>1</v>
      </c>
      <c r="I459" s="5">
        <v>39</v>
      </c>
      <c r="J459" t="s">
        <v>38</v>
      </c>
      <c r="K459" s="5">
        <v>39</v>
      </c>
    </row>
    <row r="460" spans="1:11" x14ac:dyDescent="0.2">
      <c r="A460" t="s">
        <v>746</v>
      </c>
      <c r="B460" s="4">
        <v>46161</v>
      </c>
      <c r="C460" t="s">
        <v>571</v>
      </c>
      <c r="D460" t="s">
        <v>41</v>
      </c>
      <c r="E460" t="s">
        <v>91</v>
      </c>
      <c r="F460" t="s">
        <v>51</v>
      </c>
      <c r="G460" t="s">
        <v>119</v>
      </c>
      <c r="H460">
        <v>1</v>
      </c>
      <c r="I460" s="5">
        <v>30</v>
      </c>
      <c r="J460" t="s">
        <v>38</v>
      </c>
      <c r="K460" s="5">
        <v>30</v>
      </c>
    </row>
    <row r="461" spans="1:11" x14ac:dyDescent="0.2">
      <c r="A461" t="s">
        <v>747</v>
      </c>
      <c r="B461" s="4">
        <v>46161</v>
      </c>
      <c r="C461" t="s">
        <v>339</v>
      </c>
      <c r="D461" t="s">
        <v>41</v>
      </c>
      <c r="E461" t="s">
        <v>35</v>
      </c>
      <c r="F461" t="s">
        <v>51</v>
      </c>
      <c r="G461" t="s">
        <v>55</v>
      </c>
      <c r="H461">
        <v>2</v>
      </c>
      <c r="I461" s="5">
        <v>22</v>
      </c>
      <c r="J461" t="s">
        <v>61</v>
      </c>
      <c r="K461" s="5">
        <v>44</v>
      </c>
    </row>
    <row r="462" spans="1:11" x14ac:dyDescent="0.2">
      <c r="A462" t="s">
        <v>748</v>
      </c>
      <c r="B462" s="4">
        <v>46161</v>
      </c>
      <c r="C462" t="s">
        <v>411</v>
      </c>
      <c r="D462" t="s">
        <v>41</v>
      </c>
      <c r="E462" t="s">
        <v>42</v>
      </c>
      <c r="F462" t="s">
        <v>36</v>
      </c>
      <c r="G462" t="s">
        <v>37</v>
      </c>
      <c r="H462">
        <v>5</v>
      </c>
      <c r="I462" s="5">
        <v>35</v>
      </c>
      <c r="J462" t="s">
        <v>38</v>
      </c>
      <c r="K462" s="5">
        <v>175</v>
      </c>
    </row>
    <row r="463" spans="1:11" x14ac:dyDescent="0.2">
      <c r="A463" t="s">
        <v>749</v>
      </c>
      <c r="B463" s="4">
        <v>46161</v>
      </c>
      <c r="C463" t="s">
        <v>171</v>
      </c>
      <c r="D463" t="s">
        <v>47</v>
      </c>
      <c r="E463" t="s">
        <v>35</v>
      </c>
      <c r="F463" t="s">
        <v>71</v>
      </c>
      <c r="G463" t="s">
        <v>88</v>
      </c>
      <c r="H463">
        <v>2</v>
      </c>
      <c r="I463" s="5">
        <v>75</v>
      </c>
      <c r="J463" t="s">
        <v>65</v>
      </c>
      <c r="K463" s="5">
        <v>150</v>
      </c>
    </row>
    <row r="464" spans="1:11" x14ac:dyDescent="0.2">
      <c r="A464" t="s">
        <v>750</v>
      </c>
      <c r="B464" s="4">
        <v>46161</v>
      </c>
      <c r="C464" t="s">
        <v>751</v>
      </c>
      <c r="D464" t="s">
        <v>47</v>
      </c>
      <c r="E464" t="s">
        <v>91</v>
      </c>
      <c r="F464" t="s">
        <v>51</v>
      </c>
      <c r="G464" t="s">
        <v>155</v>
      </c>
      <c r="H464">
        <v>1</v>
      </c>
      <c r="I464" s="5">
        <v>54</v>
      </c>
      <c r="J464" t="s">
        <v>61</v>
      </c>
      <c r="K464" s="5">
        <v>54</v>
      </c>
    </row>
    <row r="465" spans="1:11" x14ac:dyDescent="0.2">
      <c r="A465" t="s">
        <v>752</v>
      </c>
      <c r="B465" s="4">
        <v>46162</v>
      </c>
      <c r="C465" t="s">
        <v>76</v>
      </c>
      <c r="D465" t="s">
        <v>34</v>
      </c>
      <c r="E465" t="s">
        <v>35</v>
      </c>
      <c r="F465" t="s">
        <v>43</v>
      </c>
      <c r="G465" t="s">
        <v>48</v>
      </c>
      <c r="H465">
        <v>1</v>
      </c>
      <c r="I465" s="5">
        <v>187.95</v>
      </c>
      <c r="J465" t="s">
        <v>65</v>
      </c>
      <c r="K465" s="5">
        <v>187.95</v>
      </c>
    </row>
    <row r="466" spans="1:11" x14ac:dyDescent="0.2">
      <c r="A466" t="s">
        <v>753</v>
      </c>
      <c r="B466" s="4">
        <v>46162</v>
      </c>
      <c r="C466" t="s">
        <v>108</v>
      </c>
      <c r="D466" t="s">
        <v>58</v>
      </c>
      <c r="E466" t="s">
        <v>91</v>
      </c>
      <c r="F466" t="s">
        <v>59</v>
      </c>
      <c r="G466" t="s">
        <v>60</v>
      </c>
      <c r="H466">
        <v>3</v>
      </c>
      <c r="I466" s="5">
        <v>120</v>
      </c>
      <c r="J466" t="s">
        <v>65</v>
      </c>
      <c r="K466" s="5">
        <v>360</v>
      </c>
    </row>
    <row r="467" spans="1:11" x14ac:dyDescent="0.2">
      <c r="A467" t="s">
        <v>754</v>
      </c>
      <c r="B467" s="4">
        <v>46162</v>
      </c>
      <c r="C467" t="s">
        <v>449</v>
      </c>
      <c r="D467" t="s">
        <v>47</v>
      </c>
      <c r="E467" t="s">
        <v>91</v>
      </c>
      <c r="F467" t="s">
        <v>43</v>
      </c>
      <c r="G467" t="s">
        <v>142</v>
      </c>
      <c r="H467">
        <v>3</v>
      </c>
      <c r="I467" s="5">
        <v>33.6</v>
      </c>
      <c r="J467" t="s">
        <v>65</v>
      </c>
      <c r="K467" s="5">
        <v>100.8</v>
      </c>
    </row>
    <row r="468" spans="1:11" x14ac:dyDescent="0.2">
      <c r="A468" t="s">
        <v>755</v>
      </c>
      <c r="B468" s="4">
        <v>46163</v>
      </c>
      <c r="C468" t="s">
        <v>679</v>
      </c>
      <c r="D468" t="s">
        <v>47</v>
      </c>
      <c r="E468" t="s">
        <v>42</v>
      </c>
      <c r="F468" t="s">
        <v>36</v>
      </c>
      <c r="G468" t="s">
        <v>152</v>
      </c>
      <c r="H468">
        <v>1</v>
      </c>
      <c r="I468" s="5">
        <v>59</v>
      </c>
      <c r="J468" t="s">
        <v>38</v>
      </c>
      <c r="K468" s="5">
        <v>59</v>
      </c>
    </row>
    <row r="469" spans="1:11" x14ac:dyDescent="0.2">
      <c r="A469" t="s">
        <v>756</v>
      </c>
      <c r="B469" s="4">
        <v>46163</v>
      </c>
      <c r="C469" t="s">
        <v>402</v>
      </c>
      <c r="D469" t="s">
        <v>41</v>
      </c>
      <c r="E469" t="s">
        <v>42</v>
      </c>
      <c r="F469" t="s">
        <v>43</v>
      </c>
      <c r="G469" t="s">
        <v>44</v>
      </c>
      <c r="H469">
        <v>3</v>
      </c>
      <c r="I469" s="5">
        <v>103.95</v>
      </c>
      <c r="J469" t="s">
        <v>38</v>
      </c>
      <c r="K469" s="5">
        <v>311.85000000000002</v>
      </c>
    </row>
    <row r="470" spans="1:11" x14ac:dyDescent="0.2">
      <c r="A470" t="s">
        <v>757</v>
      </c>
      <c r="B470" s="4">
        <v>46164</v>
      </c>
      <c r="C470" t="s">
        <v>232</v>
      </c>
      <c r="D470" t="s">
        <v>114</v>
      </c>
      <c r="E470" t="s">
        <v>35</v>
      </c>
      <c r="F470" t="s">
        <v>43</v>
      </c>
      <c r="G470" t="s">
        <v>142</v>
      </c>
      <c r="H470">
        <v>2</v>
      </c>
      <c r="I470" s="5">
        <v>32</v>
      </c>
      <c r="J470" t="s">
        <v>65</v>
      </c>
      <c r="K470" s="5">
        <v>64</v>
      </c>
    </row>
    <row r="471" spans="1:11" x14ac:dyDescent="0.2">
      <c r="A471" t="s">
        <v>758</v>
      </c>
      <c r="B471" s="4">
        <v>46164</v>
      </c>
      <c r="C471" t="s">
        <v>588</v>
      </c>
      <c r="D471" t="s">
        <v>58</v>
      </c>
      <c r="E471" t="s">
        <v>35</v>
      </c>
      <c r="F471" t="s">
        <v>36</v>
      </c>
      <c r="G471" t="s">
        <v>152</v>
      </c>
      <c r="H471">
        <v>3</v>
      </c>
      <c r="I471" s="5">
        <v>59</v>
      </c>
      <c r="J471" t="s">
        <v>61</v>
      </c>
      <c r="K471" s="5">
        <v>177</v>
      </c>
    </row>
    <row r="472" spans="1:11" x14ac:dyDescent="0.2">
      <c r="A472" t="s">
        <v>759</v>
      </c>
      <c r="B472" s="4">
        <v>46165</v>
      </c>
      <c r="C472" t="s">
        <v>376</v>
      </c>
      <c r="D472" t="s">
        <v>47</v>
      </c>
      <c r="E472" t="s">
        <v>91</v>
      </c>
      <c r="F472" t="s">
        <v>51</v>
      </c>
      <c r="G472" t="s">
        <v>155</v>
      </c>
      <c r="H472">
        <v>4</v>
      </c>
      <c r="I472" s="5">
        <v>60</v>
      </c>
      <c r="J472" t="s">
        <v>61</v>
      </c>
      <c r="K472" s="5">
        <v>240</v>
      </c>
    </row>
    <row r="473" spans="1:11" x14ac:dyDescent="0.2">
      <c r="A473" t="s">
        <v>760</v>
      </c>
      <c r="B473" s="4">
        <v>46165</v>
      </c>
      <c r="C473" t="s">
        <v>341</v>
      </c>
      <c r="D473" t="s">
        <v>41</v>
      </c>
      <c r="E473" t="s">
        <v>91</v>
      </c>
      <c r="F473" t="s">
        <v>71</v>
      </c>
      <c r="G473" t="s">
        <v>95</v>
      </c>
      <c r="H473">
        <v>1</v>
      </c>
      <c r="I473" s="5">
        <v>20</v>
      </c>
      <c r="J473" t="s">
        <v>61</v>
      </c>
      <c r="K473" s="5">
        <v>20</v>
      </c>
    </row>
    <row r="474" spans="1:11" x14ac:dyDescent="0.2">
      <c r="A474" t="s">
        <v>761</v>
      </c>
      <c r="B474" s="4">
        <v>46165</v>
      </c>
      <c r="C474" t="s">
        <v>762</v>
      </c>
      <c r="D474" t="s">
        <v>41</v>
      </c>
      <c r="E474" t="s">
        <v>35</v>
      </c>
      <c r="F474" t="s">
        <v>71</v>
      </c>
      <c r="G474" t="s">
        <v>72</v>
      </c>
      <c r="H474">
        <v>1</v>
      </c>
      <c r="I474" s="5">
        <v>55</v>
      </c>
      <c r="J474" t="s">
        <v>61</v>
      </c>
      <c r="K474" s="5">
        <v>55</v>
      </c>
    </row>
    <row r="475" spans="1:11" x14ac:dyDescent="0.2">
      <c r="A475" t="s">
        <v>763</v>
      </c>
      <c r="B475" s="4">
        <v>46166</v>
      </c>
      <c r="C475" t="s">
        <v>638</v>
      </c>
      <c r="D475" t="s">
        <v>41</v>
      </c>
      <c r="E475" t="s">
        <v>35</v>
      </c>
      <c r="F475" t="s">
        <v>36</v>
      </c>
      <c r="G475" t="s">
        <v>37</v>
      </c>
      <c r="H475">
        <v>2</v>
      </c>
      <c r="I475" s="5">
        <v>31.5</v>
      </c>
      <c r="J475" t="s">
        <v>65</v>
      </c>
      <c r="K475" s="5">
        <v>63</v>
      </c>
    </row>
    <row r="476" spans="1:11" x14ac:dyDescent="0.2">
      <c r="A476" t="s">
        <v>764</v>
      </c>
      <c r="B476" s="4">
        <v>46166</v>
      </c>
      <c r="C476" t="s">
        <v>461</v>
      </c>
      <c r="D476" t="s">
        <v>47</v>
      </c>
      <c r="E476" t="s">
        <v>35</v>
      </c>
      <c r="F476" t="s">
        <v>51</v>
      </c>
      <c r="G476" t="s">
        <v>155</v>
      </c>
      <c r="H476">
        <v>2</v>
      </c>
      <c r="I476" s="5">
        <v>54</v>
      </c>
      <c r="J476" t="s">
        <v>61</v>
      </c>
      <c r="K476" s="5">
        <v>108</v>
      </c>
    </row>
    <row r="477" spans="1:11" x14ac:dyDescent="0.2">
      <c r="A477" t="s">
        <v>765</v>
      </c>
      <c r="B477" s="4">
        <v>46166</v>
      </c>
      <c r="C477" t="s">
        <v>766</v>
      </c>
      <c r="D477" t="s">
        <v>34</v>
      </c>
      <c r="E477" t="s">
        <v>42</v>
      </c>
      <c r="F477" t="s">
        <v>51</v>
      </c>
      <c r="G477" t="s">
        <v>55</v>
      </c>
      <c r="H477">
        <v>1</v>
      </c>
      <c r="I477" s="5">
        <v>22</v>
      </c>
      <c r="J477" t="s">
        <v>61</v>
      </c>
      <c r="K477" s="5">
        <v>22</v>
      </c>
    </row>
    <row r="478" spans="1:11" x14ac:dyDescent="0.2">
      <c r="A478" t="s">
        <v>767</v>
      </c>
      <c r="B478" s="4">
        <v>46166</v>
      </c>
      <c r="C478" t="s">
        <v>358</v>
      </c>
      <c r="D478" t="s">
        <v>47</v>
      </c>
      <c r="E478" t="s">
        <v>42</v>
      </c>
      <c r="F478" t="s">
        <v>36</v>
      </c>
      <c r="G478" t="s">
        <v>85</v>
      </c>
      <c r="H478">
        <v>1</v>
      </c>
      <c r="I478" s="5">
        <v>80.099999999999994</v>
      </c>
      <c r="J478" t="s">
        <v>38</v>
      </c>
      <c r="K478" s="5">
        <v>80.099999999999994</v>
      </c>
    </row>
    <row r="479" spans="1:11" x14ac:dyDescent="0.2">
      <c r="A479" t="s">
        <v>768</v>
      </c>
      <c r="B479" s="4">
        <v>46167</v>
      </c>
      <c r="C479" t="s">
        <v>323</v>
      </c>
      <c r="D479" t="s">
        <v>114</v>
      </c>
      <c r="E479" t="s">
        <v>35</v>
      </c>
      <c r="F479" t="s">
        <v>36</v>
      </c>
      <c r="G479" t="s">
        <v>37</v>
      </c>
      <c r="H479">
        <v>1</v>
      </c>
      <c r="I479" s="5">
        <v>31.5</v>
      </c>
      <c r="J479" t="s">
        <v>38</v>
      </c>
      <c r="K479" s="5">
        <v>31.5</v>
      </c>
    </row>
    <row r="480" spans="1:11" x14ac:dyDescent="0.2">
      <c r="A480" t="s">
        <v>769</v>
      </c>
      <c r="B480" s="4">
        <v>46167</v>
      </c>
      <c r="C480" t="s">
        <v>611</v>
      </c>
      <c r="D480" t="s">
        <v>47</v>
      </c>
      <c r="E480" t="s">
        <v>91</v>
      </c>
      <c r="F480" t="s">
        <v>36</v>
      </c>
      <c r="G480" t="s">
        <v>37</v>
      </c>
      <c r="H480">
        <v>2</v>
      </c>
      <c r="I480" s="5">
        <v>36.75</v>
      </c>
      <c r="J480" t="s">
        <v>65</v>
      </c>
      <c r="K480" s="5">
        <v>73.5</v>
      </c>
    </row>
    <row r="481" spans="1:11" x14ac:dyDescent="0.2">
      <c r="A481" t="s">
        <v>770</v>
      </c>
      <c r="B481" s="4">
        <v>46167</v>
      </c>
      <c r="C481" t="s">
        <v>444</v>
      </c>
      <c r="D481" t="s">
        <v>34</v>
      </c>
      <c r="E481" t="s">
        <v>91</v>
      </c>
      <c r="F481" t="s">
        <v>71</v>
      </c>
      <c r="G481" t="s">
        <v>95</v>
      </c>
      <c r="H481">
        <v>1</v>
      </c>
      <c r="I481" s="5">
        <v>20</v>
      </c>
      <c r="J481" t="s">
        <v>65</v>
      </c>
      <c r="K481" s="5">
        <v>20</v>
      </c>
    </row>
    <row r="482" spans="1:11" x14ac:dyDescent="0.2">
      <c r="A482" t="s">
        <v>771</v>
      </c>
      <c r="B482" s="4">
        <v>46167</v>
      </c>
      <c r="C482" t="s">
        <v>694</v>
      </c>
      <c r="D482" t="s">
        <v>58</v>
      </c>
      <c r="E482" t="s">
        <v>91</v>
      </c>
      <c r="F482" t="s">
        <v>71</v>
      </c>
      <c r="G482" t="s">
        <v>137</v>
      </c>
      <c r="H482">
        <v>3</v>
      </c>
      <c r="I482" s="5">
        <v>110</v>
      </c>
      <c r="J482" t="s">
        <v>38</v>
      </c>
      <c r="K482" s="5">
        <v>330</v>
      </c>
    </row>
    <row r="483" spans="1:11" x14ac:dyDescent="0.2">
      <c r="A483" t="s">
        <v>772</v>
      </c>
      <c r="B483" s="4">
        <v>46167</v>
      </c>
      <c r="C483" t="s">
        <v>144</v>
      </c>
      <c r="D483" t="s">
        <v>58</v>
      </c>
      <c r="E483" t="s">
        <v>35</v>
      </c>
      <c r="F483" t="s">
        <v>43</v>
      </c>
      <c r="G483" t="s">
        <v>77</v>
      </c>
      <c r="H483">
        <v>5</v>
      </c>
      <c r="I483" s="5">
        <v>40.5</v>
      </c>
      <c r="J483" t="s">
        <v>38</v>
      </c>
      <c r="K483" s="5">
        <v>202.5</v>
      </c>
    </row>
    <row r="484" spans="1:11" x14ac:dyDescent="0.2">
      <c r="A484" t="s">
        <v>773</v>
      </c>
      <c r="B484" s="4">
        <v>46168</v>
      </c>
      <c r="C484" t="s">
        <v>196</v>
      </c>
      <c r="D484" t="s">
        <v>47</v>
      </c>
      <c r="E484" t="s">
        <v>35</v>
      </c>
      <c r="F484" t="s">
        <v>36</v>
      </c>
      <c r="G484" t="s">
        <v>68</v>
      </c>
      <c r="H484">
        <v>1</v>
      </c>
      <c r="I484" s="5">
        <v>82.95</v>
      </c>
      <c r="J484" t="s">
        <v>38</v>
      </c>
      <c r="K484" s="5">
        <v>82.95</v>
      </c>
    </row>
    <row r="485" spans="1:11" x14ac:dyDescent="0.2">
      <c r="A485" t="s">
        <v>774</v>
      </c>
      <c r="B485" s="4">
        <v>46168</v>
      </c>
      <c r="C485" t="s">
        <v>560</v>
      </c>
      <c r="D485" t="s">
        <v>114</v>
      </c>
      <c r="E485" t="s">
        <v>91</v>
      </c>
      <c r="F485" t="s">
        <v>43</v>
      </c>
      <c r="G485" t="s">
        <v>83</v>
      </c>
      <c r="H485">
        <v>2</v>
      </c>
      <c r="I485" s="5">
        <v>39</v>
      </c>
      <c r="J485" t="s">
        <v>61</v>
      </c>
      <c r="K485" s="5">
        <v>78</v>
      </c>
    </row>
    <row r="486" spans="1:11" x14ac:dyDescent="0.2">
      <c r="A486" t="s">
        <v>775</v>
      </c>
      <c r="B486" s="4">
        <v>46168</v>
      </c>
      <c r="C486" t="s">
        <v>184</v>
      </c>
      <c r="D486" t="s">
        <v>41</v>
      </c>
      <c r="E486" t="s">
        <v>35</v>
      </c>
      <c r="F486" t="s">
        <v>71</v>
      </c>
      <c r="G486" t="s">
        <v>72</v>
      </c>
      <c r="H486">
        <v>1</v>
      </c>
      <c r="I486" s="5">
        <v>55</v>
      </c>
      <c r="J486" t="s">
        <v>61</v>
      </c>
      <c r="K486" s="5">
        <v>55</v>
      </c>
    </row>
    <row r="487" spans="1:11" x14ac:dyDescent="0.2">
      <c r="A487" t="s">
        <v>776</v>
      </c>
      <c r="B487" s="4">
        <v>46168</v>
      </c>
      <c r="C487" t="s">
        <v>180</v>
      </c>
      <c r="D487" t="s">
        <v>34</v>
      </c>
      <c r="E487" t="s">
        <v>35</v>
      </c>
      <c r="F487" t="s">
        <v>36</v>
      </c>
      <c r="G487" t="s">
        <v>37</v>
      </c>
      <c r="H487">
        <v>1</v>
      </c>
      <c r="I487" s="5">
        <v>35</v>
      </c>
      <c r="J487" t="s">
        <v>61</v>
      </c>
      <c r="K487" s="5">
        <v>35</v>
      </c>
    </row>
    <row r="488" spans="1:11" x14ac:dyDescent="0.2">
      <c r="A488" t="s">
        <v>777</v>
      </c>
      <c r="B488" s="4">
        <v>46169</v>
      </c>
      <c r="C488" t="s">
        <v>778</v>
      </c>
      <c r="D488" t="s">
        <v>47</v>
      </c>
      <c r="E488" t="s">
        <v>35</v>
      </c>
      <c r="F488" t="s">
        <v>36</v>
      </c>
      <c r="G488" t="s">
        <v>122</v>
      </c>
      <c r="H488">
        <v>2</v>
      </c>
      <c r="I488" s="5">
        <v>26.25</v>
      </c>
      <c r="J488" t="s">
        <v>38</v>
      </c>
      <c r="K488" s="5">
        <v>52.5</v>
      </c>
    </row>
    <row r="489" spans="1:11" x14ac:dyDescent="0.2">
      <c r="A489" t="s">
        <v>779</v>
      </c>
      <c r="B489" s="4">
        <v>46169</v>
      </c>
      <c r="C489" t="s">
        <v>50</v>
      </c>
      <c r="D489" t="s">
        <v>58</v>
      </c>
      <c r="E489" t="s">
        <v>42</v>
      </c>
      <c r="F489" t="s">
        <v>36</v>
      </c>
      <c r="G489" t="s">
        <v>85</v>
      </c>
      <c r="H489">
        <v>3</v>
      </c>
      <c r="I489" s="5">
        <v>89</v>
      </c>
      <c r="J489" t="s">
        <v>38</v>
      </c>
      <c r="K489" s="5">
        <v>267</v>
      </c>
    </row>
    <row r="490" spans="1:11" x14ac:dyDescent="0.2">
      <c r="A490" t="s">
        <v>780</v>
      </c>
      <c r="B490" s="4">
        <v>46170</v>
      </c>
      <c r="C490" t="s">
        <v>134</v>
      </c>
      <c r="D490" t="s">
        <v>47</v>
      </c>
      <c r="E490" t="s">
        <v>42</v>
      </c>
      <c r="F490" t="s">
        <v>36</v>
      </c>
      <c r="G490" t="s">
        <v>37</v>
      </c>
      <c r="H490">
        <v>1</v>
      </c>
      <c r="I490" s="5">
        <v>35</v>
      </c>
      <c r="J490" t="s">
        <v>65</v>
      </c>
      <c r="K490" s="5">
        <v>35</v>
      </c>
    </row>
    <row r="491" spans="1:11" x14ac:dyDescent="0.2">
      <c r="A491" t="s">
        <v>781</v>
      </c>
      <c r="B491" s="4">
        <v>46170</v>
      </c>
      <c r="C491" t="s">
        <v>318</v>
      </c>
      <c r="D491" t="s">
        <v>34</v>
      </c>
      <c r="E491" t="s">
        <v>35</v>
      </c>
      <c r="F491" t="s">
        <v>71</v>
      </c>
      <c r="G491" t="s">
        <v>137</v>
      </c>
      <c r="H491">
        <v>1</v>
      </c>
      <c r="I491" s="5">
        <v>110</v>
      </c>
      <c r="J491" t="s">
        <v>38</v>
      </c>
      <c r="K491" s="5">
        <v>110</v>
      </c>
    </row>
    <row r="492" spans="1:11" x14ac:dyDescent="0.2">
      <c r="A492" t="s">
        <v>782</v>
      </c>
      <c r="B492" s="4">
        <v>46171</v>
      </c>
      <c r="C492" t="s">
        <v>129</v>
      </c>
      <c r="D492" t="s">
        <v>114</v>
      </c>
      <c r="E492" t="s">
        <v>35</v>
      </c>
      <c r="F492" t="s">
        <v>59</v>
      </c>
      <c r="G492" t="s">
        <v>111</v>
      </c>
      <c r="H492">
        <v>1</v>
      </c>
      <c r="I492" s="5">
        <v>75</v>
      </c>
      <c r="J492" t="s">
        <v>38</v>
      </c>
      <c r="K492" s="5">
        <v>75</v>
      </c>
    </row>
    <row r="493" spans="1:11" x14ac:dyDescent="0.2">
      <c r="A493" t="s">
        <v>783</v>
      </c>
      <c r="B493" s="4">
        <v>46171</v>
      </c>
      <c r="C493" t="s">
        <v>568</v>
      </c>
      <c r="D493" t="s">
        <v>41</v>
      </c>
      <c r="E493" t="s">
        <v>42</v>
      </c>
      <c r="F493" t="s">
        <v>36</v>
      </c>
      <c r="G493" t="s">
        <v>85</v>
      </c>
      <c r="H493">
        <v>1</v>
      </c>
      <c r="I493" s="5">
        <v>89</v>
      </c>
      <c r="J493" t="s">
        <v>38</v>
      </c>
      <c r="K493" s="5">
        <v>89</v>
      </c>
    </row>
    <row r="494" spans="1:11" x14ac:dyDescent="0.2">
      <c r="A494" t="s">
        <v>784</v>
      </c>
      <c r="B494" s="4">
        <v>46171</v>
      </c>
      <c r="C494" t="s">
        <v>663</v>
      </c>
      <c r="D494" t="s">
        <v>34</v>
      </c>
      <c r="E494" t="s">
        <v>91</v>
      </c>
      <c r="F494" t="s">
        <v>71</v>
      </c>
      <c r="G494" t="s">
        <v>88</v>
      </c>
      <c r="H494">
        <v>2</v>
      </c>
      <c r="I494" s="5">
        <v>75</v>
      </c>
      <c r="J494" t="s">
        <v>38</v>
      </c>
      <c r="K494" s="5">
        <v>150</v>
      </c>
    </row>
    <row r="495" spans="1:11" x14ac:dyDescent="0.2">
      <c r="A495" t="s">
        <v>785</v>
      </c>
      <c r="B495" s="4">
        <v>46172</v>
      </c>
      <c r="C495" t="s">
        <v>180</v>
      </c>
      <c r="D495" t="s">
        <v>58</v>
      </c>
      <c r="E495" t="s">
        <v>35</v>
      </c>
      <c r="F495" t="s">
        <v>59</v>
      </c>
      <c r="G495" t="s">
        <v>60</v>
      </c>
      <c r="H495">
        <v>1</v>
      </c>
      <c r="I495" s="5">
        <v>120</v>
      </c>
      <c r="J495" t="s">
        <v>38</v>
      </c>
      <c r="K495" s="5">
        <v>120</v>
      </c>
    </row>
    <row r="496" spans="1:11" x14ac:dyDescent="0.2">
      <c r="A496" t="s">
        <v>786</v>
      </c>
      <c r="B496" s="4">
        <v>46172</v>
      </c>
      <c r="C496" t="s">
        <v>361</v>
      </c>
      <c r="D496" t="s">
        <v>58</v>
      </c>
      <c r="E496" t="s">
        <v>42</v>
      </c>
      <c r="F496" t="s">
        <v>36</v>
      </c>
      <c r="G496" t="s">
        <v>152</v>
      </c>
      <c r="H496">
        <v>1</v>
      </c>
      <c r="I496" s="5">
        <v>59</v>
      </c>
      <c r="J496" t="s">
        <v>38</v>
      </c>
      <c r="K496" s="5">
        <v>59</v>
      </c>
    </row>
    <row r="497" spans="1:11" x14ac:dyDescent="0.2">
      <c r="A497" t="s">
        <v>787</v>
      </c>
      <c r="B497" s="4">
        <v>46173</v>
      </c>
      <c r="C497" t="s">
        <v>350</v>
      </c>
      <c r="D497" t="s">
        <v>47</v>
      </c>
      <c r="E497" t="s">
        <v>42</v>
      </c>
      <c r="F497" t="s">
        <v>43</v>
      </c>
      <c r="G497" t="s">
        <v>142</v>
      </c>
      <c r="H497">
        <v>2</v>
      </c>
      <c r="I497" s="5">
        <v>32</v>
      </c>
      <c r="J497" t="s">
        <v>38</v>
      </c>
      <c r="K497" s="5">
        <v>64</v>
      </c>
    </row>
    <row r="498" spans="1:11" x14ac:dyDescent="0.2">
      <c r="A498" t="s">
        <v>788</v>
      </c>
      <c r="B498" s="4">
        <v>46173</v>
      </c>
      <c r="C498" t="s">
        <v>789</v>
      </c>
      <c r="D498" t="s">
        <v>47</v>
      </c>
      <c r="E498" t="s">
        <v>35</v>
      </c>
      <c r="F498" t="s">
        <v>36</v>
      </c>
      <c r="G498" t="s">
        <v>122</v>
      </c>
      <c r="H498">
        <v>1</v>
      </c>
      <c r="I498" s="5">
        <v>26.25</v>
      </c>
      <c r="J498" t="s">
        <v>38</v>
      </c>
      <c r="K498" s="5">
        <v>26.25</v>
      </c>
    </row>
    <row r="499" spans="1:11" x14ac:dyDescent="0.2">
      <c r="A499" t="s">
        <v>790</v>
      </c>
      <c r="B499" s="4">
        <v>46173</v>
      </c>
      <c r="C499" t="s">
        <v>791</v>
      </c>
      <c r="D499" t="s">
        <v>58</v>
      </c>
      <c r="E499" t="s">
        <v>42</v>
      </c>
      <c r="F499" t="s">
        <v>71</v>
      </c>
      <c r="G499" t="s">
        <v>88</v>
      </c>
      <c r="H499">
        <v>2</v>
      </c>
      <c r="I499" s="5">
        <v>67.5</v>
      </c>
      <c r="J499" t="s">
        <v>38</v>
      </c>
      <c r="K499" s="5">
        <v>135</v>
      </c>
    </row>
    <row r="500" spans="1:11" x14ac:dyDescent="0.2">
      <c r="A500" t="s">
        <v>792</v>
      </c>
      <c r="B500" s="4">
        <v>46175</v>
      </c>
      <c r="C500" t="s">
        <v>652</v>
      </c>
      <c r="D500" t="s">
        <v>58</v>
      </c>
      <c r="E500" t="s">
        <v>35</v>
      </c>
      <c r="F500" t="s">
        <v>59</v>
      </c>
      <c r="G500" t="s">
        <v>64</v>
      </c>
      <c r="H500">
        <v>2</v>
      </c>
      <c r="I500" s="5">
        <v>18</v>
      </c>
      <c r="J500" t="s">
        <v>61</v>
      </c>
      <c r="K500" s="5">
        <v>36</v>
      </c>
    </row>
    <row r="501" spans="1:11" x14ac:dyDescent="0.2">
      <c r="A501" t="s">
        <v>793</v>
      </c>
      <c r="B501" s="4">
        <v>46175</v>
      </c>
      <c r="C501" t="s">
        <v>165</v>
      </c>
      <c r="D501" t="s">
        <v>41</v>
      </c>
      <c r="E501" t="s">
        <v>91</v>
      </c>
      <c r="F501" t="s">
        <v>36</v>
      </c>
      <c r="G501" t="s">
        <v>37</v>
      </c>
      <c r="H501">
        <v>1</v>
      </c>
      <c r="I501" s="5">
        <v>36.75</v>
      </c>
      <c r="J501" t="s">
        <v>65</v>
      </c>
      <c r="K501" s="5">
        <v>36.75</v>
      </c>
    </row>
    <row r="502" spans="1:11" x14ac:dyDescent="0.2">
      <c r="A502" t="s">
        <v>794</v>
      </c>
      <c r="B502" s="4">
        <v>46175</v>
      </c>
      <c r="C502" t="s">
        <v>33</v>
      </c>
      <c r="D502" t="s">
        <v>34</v>
      </c>
      <c r="E502" t="s">
        <v>35</v>
      </c>
      <c r="F502" t="s">
        <v>51</v>
      </c>
      <c r="G502" t="s">
        <v>119</v>
      </c>
      <c r="H502">
        <v>1</v>
      </c>
      <c r="I502" s="5">
        <v>31.5</v>
      </c>
      <c r="J502" t="s">
        <v>38</v>
      </c>
      <c r="K502" s="5">
        <v>31.5</v>
      </c>
    </row>
    <row r="503" spans="1:11" x14ac:dyDescent="0.2">
      <c r="A503" t="s">
        <v>795</v>
      </c>
      <c r="B503" s="4">
        <v>46175</v>
      </c>
      <c r="C503" t="s">
        <v>796</v>
      </c>
      <c r="D503" t="s">
        <v>47</v>
      </c>
      <c r="E503" t="s">
        <v>42</v>
      </c>
      <c r="F503" t="s">
        <v>43</v>
      </c>
      <c r="G503" t="s">
        <v>77</v>
      </c>
      <c r="H503">
        <v>1</v>
      </c>
      <c r="I503" s="5">
        <v>40.5</v>
      </c>
      <c r="J503" t="s">
        <v>38</v>
      </c>
      <c r="K503" s="5">
        <v>40.5</v>
      </c>
    </row>
    <row r="504" spans="1:11" x14ac:dyDescent="0.2">
      <c r="A504" t="s">
        <v>797</v>
      </c>
      <c r="B504" s="4">
        <v>46175</v>
      </c>
      <c r="C504" t="s">
        <v>361</v>
      </c>
      <c r="D504" t="s">
        <v>58</v>
      </c>
      <c r="E504" t="s">
        <v>35</v>
      </c>
      <c r="F504" t="s">
        <v>36</v>
      </c>
      <c r="G504" t="s">
        <v>122</v>
      </c>
      <c r="H504">
        <v>1</v>
      </c>
      <c r="I504" s="5">
        <v>25</v>
      </c>
      <c r="J504" t="s">
        <v>38</v>
      </c>
      <c r="K504" s="5">
        <v>25</v>
      </c>
    </row>
    <row r="505" spans="1:11" x14ac:dyDescent="0.2">
      <c r="A505" t="s">
        <v>798</v>
      </c>
      <c r="B505" s="4">
        <v>46177</v>
      </c>
      <c r="C505" t="s">
        <v>221</v>
      </c>
      <c r="D505" t="s">
        <v>34</v>
      </c>
      <c r="E505" t="s">
        <v>35</v>
      </c>
      <c r="F505" t="s">
        <v>71</v>
      </c>
      <c r="G505" t="s">
        <v>92</v>
      </c>
      <c r="H505">
        <v>2</v>
      </c>
      <c r="I505" s="5">
        <v>65</v>
      </c>
      <c r="J505" t="s">
        <v>38</v>
      </c>
      <c r="K505" s="5">
        <v>130</v>
      </c>
    </row>
    <row r="506" spans="1:11" x14ac:dyDescent="0.2">
      <c r="A506" t="s">
        <v>799</v>
      </c>
      <c r="B506" s="4">
        <v>46177</v>
      </c>
      <c r="C506" t="s">
        <v>321</v>
      </c>
      <c r="D506" t="s">
        <v>58</v>
      </c>
      <c r="E506" t="s">
        <v>35</v>
      </c>
      <c r="F506" t="s">
        <v>36</v>
      </c>
      <c r="G506" t="s">
        <v>68</v>
      </c>
      <c r="H506">
        <v>2</v>
      </c>
      <c r="I506" s="5">
        <v>79</v>
      </c>
      <c r="J506" t="s">
        <v>61</v>
      </c>
      <c r="K506" s="5">
        <v>158</v>
      </c>
    </row>
    <row r="507" spans="1:11" x14ac:dyDescent="0.2">
      <c r="A507" t="s">
        <v>800</v>
      </c>
      <c r="B507" s="4">
        <v>46177</v>
      </c>
      <c r="C507" t="s">
        <v>370</v>
      </c>
      <c r="D507" t="s">
        <v>34</v>
      </c>
      <c r="E507" t="s">
        <v>35</v>
      </c>
      <c r="F507" t="s">
        <v>51</v>
      </c>
      <c r="G507" t="s">
        <v>155</v>
      </c>
      <c r="H507">
        <v>2</v>
      </c>
      <c r="I507" s="5">
        <v>60</v>
      </c>
      <c r="J507" t="s">
        <v>61</v>
      </c>
      <c r="K507" s="5">
        <v>120</v>
      </c>
    </row>
    <row r="508" spans="1:11" x14ac:dyDescent="0.2">
      <c r="A508" t="s">
        <v>801</v>
      </c>
      <c r="B508" s="4">
        <v>46177</v>
      </c>
      <c r="C508" t="s">
        <v>211</v>
      </c>
      <c r="D508" t="s">
        <v>58</v>
      </c>
      <c r="E508" t="s">
        <v>35</v>
      </c>
      <c r="F508" t="s">
        <v>59</v>
      </c>
      <c r="G508" t="s">
        <v>111</v>
      </c>
      <c r="H508">
        <v>3</v>
      </c>
      <c r="I508" s="5">
        <v>75</v>
      </c>
      <c r="J508" t="s">
        <v>65</v>
      </c>
      <c r="K508" s="5">
        <v>225</v>
      </c>
    </row>
    <row r="509" spans="1:11" x14ac:dyDescent="0.2">
      <c r="A509" t="s">
        <v>802</v>
      </c>
      <c r="B509" s="4">
        <v>46177</v>
      </c>
      <c r="C509" t="s">
        <v>616</v>
      </c>
      <c r="D509" t="s">
        <v>58</v>
      </c>
      <c r="E509" t="s">
        <v>35</v>
      </c>
      <c r="F509" t="s">
        <v>59</v>
      </c>
      <c r="G509" t="s">
        <v>106</v>
      </c>
      <c r="H509">
        <v>1</v>
      </c>
      <c r="I509" s="5">
        <v>29.4</v>
      </c>
      <c r="J509" t="s">
        <v>61</v>
      </c>
      <c r="K509" s="5">
        <v>29.4</v>
      </c>
    </row>
    <row r="510" spans="1:11" x14ac:dyDescent="0.2">
      <c r="A510" t="s">
        <v>803</v>
      </c>
      <c r="B510" s="4">
        <v>46178</v>
      </c>
      <c r="C510" t="s">
        <v>804</v>
      </c>
      <c r="D510" t="s">
        <v>47</v>
      </c>
      <c r="E510" t="s">
        <v>35</v>
      </c>
      <c r="F510" t="s">
        <v>71</v>
      </c>
      <c r="G510" t="s">
        <v>95</v>
      </c>
      <c r="H510">
        <v>2</v>
      </c>
      <c r="I510" s="5">
        <v>18</v>
      </c>
      <c r="J510" t="s">
        <v>38</v>
      </c>
      <c r="K510" s="5">
        <v>36</v>
      </c>
    </row>
    <row r="511" spans="1:11" x14ac:dyDescent="0.2">
      <c r="A511" t="s">
        <v>805</v>
      </c>
      <c r="B511" s="4">
        <v>46178</v>
      </c>
      <c r="C511" t="s">
        <v>376</v>
      </c>
      <c r="D511" t="s">
        <v>58</v>
      </c>
      <c r="E511" t="s">
        <v>91</v>
      </c>
      <c r="F511" t="s">
        <v>71</v>
      </c>
      <c r="G511" t="s">
        <v>95</v>
      </c>
      <c r="H511">
        <v>1</v>
      </c>
      <c r="I511" s="5">
        <v>20</v>
      </c>
      <c r="J511" t="s">
        <v>61</v>
      </c>
      <c r="K511" s="5">
        <v>20</v>
      </c>
    </row>
    <row r="512" spans="1:11" x14ac:dyDescent="0.2">
      <c r="A512" t="s">
        <v>806</v>
      </c>
      <c r="B512" s="4">
        <v>46178</v>
      </c>
      <c r="C512" t="s">
        <v>361</v>
      </c>
      <c r="D512" t="s">
        <v>114</v>
      </c>
      <c r="E512" t="s">
        <v>91</v>
      </c>
      <c r="F512" t="s">
        <v>51</v>
      </c>
      <c r="G512" t="s">
        <v>52</v>
      </c>
      <c r="H512">
        <v>3</v>
      </c>
      <c r="I512" s="5">
        <v>40.5</v>
      </c>
      <c r="J512" t="s">
        <v>38</v>
      </c>
      <c r="K512" s="5">
        <v>121.5</v>
      </c>
    </row>
    <row r="513" spans="1:11" x14ac:dyDescent="0.2">
      <c r="A513" t="s">
        <v>807</v>
      </c>
      <c r="B513" s="4">
        <v>46179</v>
      </c>
      <c r="C513" t="s">
        <v>171</v>
      </c>
      <c r="D513" t="s">
        <v>41</v>
      </c>
      <c r="E513" t="s">
        <v>42</v>
      </c>
      <c r="F513" t="s">
        <v>36</v>
      </c>
      <c r="G513" t="s">
        <v>122</v>
      </c>
      <c r="H513">
        <v>3</v>
      </c>
      <c r="I513" s="5">
        <v>25</v>
      </c>
      <c r="J513" t="s">
        <v>38</v>
      </c>
      <c r="K513" s="5">
        <v>75</v>
      </c>
    </row>
    <row r="514" spans="1:11" x14ac:dyDescent="0.2">
      <c r="A514" t="s">
        <v>808</v>
      </c>
      <c r="B514" s="4">
        <v>46179</v>
      </c>
      <c r="C514" t="s">
        <v>174</v>
      </c>
      <c r="D514" t="s">
        <v>58</v>
      </c>
      <c r="E514" t="s">
        <v>35</v>
      </c>
      <c r="F514" t="s">
        <v>59</v>
      </c>
      <c r="G514" t="s">
        <v>111</v>
      </c>
      <c r="H514">
        <v>1</v>
      </c>
      <c r="I514" s="5">
        <v>75</v>
      </c>
      <c r="J514" t="s">
        <v>38</v>
      </c>
      <c r="K514" s="5">
        <v>75</v>
      </c>
    </row>
    <row r="515" spans="1:11" x14ac:dyDescent="0.2">
      <c r="A515" t="s">
        <v>809</v>
      </c>
      <c r="B515" s="4">
        <v>46179</v>
      </c>
      <c r="C515" t="s">
        <v>724</v>
      </c>
      <c r="D515" t="s">
        <v>47</v>
      </c>
      <c r="E515" t="s">
        <v>35</v>
      </c>
      <c r="F515" t="s">
        <v>36</v>
      </c>
      <c r="G515" t="s">
        <v>152</v>
      </c>
      <c r="H515">
        <v>1</v>
      </c>
      <c r="I515" s="5">
        <v>59</v>
      </c>
      <c r="J515" t="s">
        <v>61</v>
      </c>
      <c r="K515" s="5">
        <v>59</v>
      </c>
    </row>
    <row r="516" spans="1:11" x14ac:dyDescent="0.2">
      <c r="A516" t="s">
        <v>810</v>
      </c>
      <c r="B516" s="4">
        <v>46179</v>
      </c>
      <c r="C516" t="s">
        <v>451</v>
      </c>
      <c r="D516" t="s">
        <v>114</v>
      </c>
      <c r="E516" t="s">
        <v>35</v>
      </c>
      <c r="F516" t="s">
        <v>43</v>
      </c>
      <c r="G516" t="s">
        <v>48</v>
      </c>
      <c r="H516">
        <v>4</v>
      </c>
      <c r="I516" s="5">
        <v>161.1</v>
      </c>
      <c r="J516" t="s">
        <v>38</v>
      </c>
      <c r="K516" s="5">
        <v>644.4</v>
      </c>
    </row>
    <row r="517" spans="1:11" x14ac:dyDescent="0.2">
      <c r="A517" t="s">
        <v>811</v>
      </c>
      <c r="B517" s="4">
        <v>46180</v>
      </c>
      <c r="C517" t="s">
        <v>415</v>
      </c>
      <c r="D517" t="s">
        <v>34</v>
      </c>
      <c r="E517" t="s">
        <v>42</v>
      </c>
      <c r="F517" t="s">
        <v>43</v>
      </c>
      <c r="G517" t="s">
        <v>83</v>
      </c>
      <c r="H517">
        <v>2</v>
      </c>
      <c r="I517" s="5">
        <v>35.1</v>
      </c>
      <c r="J517" t="s">
        <v>38</v>
      </c>
      <c r="K517" s="5">
        <v>70.2</v>
      </c>
    </row>
    <row r="518" spans="1:11" x14ac:dyDescent="0.2">
      <c r="A518" t="s">
        <v>812</v>
      </c>
      <c r="B518" s="4">
        <v>46180</v>
      </c>
      <c r="C518" t="s">
        <v>139</v>
      </c>
      <c r="D518" t="s">
        <v>34</v>
      </c>
      <c r="E518" t="s">
        <v>91</v>
      </c>
      <c r="F518" t="s">
        <v>43</v>
      </c>
      <c r="G518" t="s">
        <v>77</v>
      </c>
      <c r="H518">
        <v>1</v>
      </c>
      <c r="I518" s="5">
        <v>45</v>
      </c>
      <c r="J518" t="s">
        <v>38</v>
      </c>
      <c r="K518" s="5">
        <v>45</v>
      </c>
    </row>
    <row r="519" spans="1:11" x14ac:dyDescent="0.2">
      <c r="A519" t="s">
        <v>813</v>
      </c>
      <c r="B519" s="4">
        <v>46180</v>
      </c>
      <c r="C519" t="s">
        <v>321</v>
      </c>
      <c r="D519" t="s">
        <v>47</v>
      </c>
      <c r="E519" t="s">
        <v>35</v>
      </c>
      <c r="F519" t="s">
        <v>51</v>
      </c>
      <c r="G519" t="s">
        <v>155</v>
      </c>
      <c r="H519">
        <v>3</v>
      </c>
      <c r="I519" s="5">
        <v>54</v>
      </c>
      <c r="J519" t="s">
        <v>38</v>
      </c>
      <c r="K519" s="5">
        <v>162</v>
      </c>
    </row>
    <row r="520" spans="1:11" x14ac:dyDescent="0.2">
      <c r="A520" t="s">
        <v>814</v>
      </c>
      <c r="B520" s="4">
        <v>46180</v>
      </c>
      <c r="C520" t="s">
        <v>525</v>
      </c>
      <c r="D520" t="s">
        <v>34</v>
      </c>
      <c r="E520" t="s">
        <v>35</v>
      </c>
      <c r="F520" t="s">
        <v>43</v>
      </c>
      <c r="G520" t="s">
        <v>142</v>
      </c>
      <c r="H520">
        <v>1</v>
      </c>
      <c r="I520" s="5">
        <v>32</v>
      </c>
      <c r="J520" t="s">
        <v>61</v>
      </c>
      <c r="K520" s="5">
        <v>32</v>
      </c>
    </row>
    <row r="521" spans="1:11" x14ac:dyDescent="0.2">
      <c r="A521" t="s">
        <v>815</v>
      </c>
      <c r="B521" s="4">
        <v>46181</v>
      </c>
      <c r="C521" t="s">
        <v>139</v>
      </c>
      <c r="D521" t="s">
        <v>47</v>
      </c>
      <c r="E521" t="s">
        <v>35</v>
      </c>
      <c r="F521" t="s">
        <v>43</v>
      </c>
      <c r="G521" t="s">
        <v>142</v>
      </c>
      <c r="H521">
        <v>1</v>
      </c>
      <c r="I521" s="5">
        <v>33.6</v>
      </c>
      <c r="J521" t="s">
        <v>61</v>
      </c>
      <c r="K521" s="5">
        <v>33.6</v>
      </c>
    </row>
    <row r="522" spans="1:11" x14ac:dyDescent="0.2">
      <c r="A522" t="s">
        <v>816</v>
      </c>
      <c r="B522" s="4">
        <v>46182</v>
      </c>
      <c r="C522" t="s">
        <v>325</v>
      </c>
      <c r="D522" t="s">
        <v>47</v>
      </c>
      <c r="E522" t="s">
        <v>42</v>
      </c>
      <c r="F522" t="s">
        <v>51</v>
      </c>
      <c r="G522" t="s">
        <v>155</v>
      </c>
      <c r="H522">
        <v>1</v>
      </c>
      <c r="I522" s="5">
        <v>60</v>
      </c>
      <c r="J522" t="s">
        <v>38</v>
      </c>
      <c r="K522" s="5">
        <v>60</v>
      </c>
    </row>
    <row r="523" spans="1:11" x14ac:dyDescent="0.2">
      <c r="A523" t="s">
        <v>817</v>
      </c>
      <c r="B523" s="4">
        <v>46182</v>
      </c>
      <c r="C523" t="s">
        <v>483</v>
      </c>
      <c r="D523" t="s">
        <v>47</v>
      </c>
      <c r="E523" t="s">
        <v>91</v>
      </c>
      <c r="F523" t="s">
        <v>71</v>
      </c>
      <c r="G523" t="s">
        <v>95</v>
      </c>
      <c r="H523">
        <v>2</v>
      </c>
      <c r="I523" s="5">
        <v>20</v>
      </c>
      <c r="J523" t="s">
        <v>38</v>
      </c>
      <c r="K523" s="5">
        <v>40</v>
      </c>
    </row>
    <row r="524" spans="1:11" x14ac:dyDescent="0.2">
      <c r="A524" t="s">
        <v>818</v>
      </c>
      <c r="B524" s="4">
        <v>46182</v>
      </c>
      <c r="C524" t="s">
        <v>189</v>
      </c>
      <c r="D524" t="s">
        <v>47</v>
      </c>
      <c r="E524" t="s">
        <v>91</v>
      </c>
      <c r="F524" t="s">
        <v>71</v>
      </c>
      <c r="G524" t="s">
        <v>88</v>
      </c>
      <c r="H524">
        <v>2</v>
      </c>
      <c r="I524" s="5">
        <v>75</v>
      </c>
      <c r="J524" t="s">
        <v>38</v>
      </c>
      <c r="K524" s="5">
        <v>150</v>
      </c>
    </row>
    <row r="525" spans="1:11" x14ac:dyDescent="0.2">
      <c r="A525" t="s">
        <v>819</v>
      </c>
      <c r="B525" s="4">
        <v>46183</v>
      </c>
      <c r="C525" t="s">
        <v>234</v>
      </c>
      <c r="D525" t="s">
        <v>41</v>
      </c>
      <c r="E525" t="s">
        <v>42</v>
      </c>
      <c r="F525" t="s">
        <v>71</v>
      </c>
      <c r="G525" t="s">
        <v>72</v>
      </c>
      <c r="H525">
        <v>4</v>
      </c>
      <c r="I525" s="5">
        <v>55</v>
      </c>
      <c r="J525" t="s">
        <v>38</v>
      </c>
      <c r="K525" s="5">
        <v>220</v>
      </c>
    </row>
    <row r="526" spans="1:11" x14ac:dyDescent="0.2">
      <c r="A526" t="s">
        <v>820</v>
      </c>
      <c r="B526" s="4">
        <v>46183</v>
      </c>
      <c r="C526" t="s">
        <v>821</v>
      </c>
      <c r="D526" t="s">
        <v>47</v>
      </c>
      <c r="E526" t="s">
        <v>42</v>
      </c>
      <c r="F526" t="s">
        <v>36</v>
      </c>
      <c r="G526" t="s">
        <v>37</v>
      </c>
      <c r="H526">
        <v>1</v>
      </c>
      <c r="I526" s="5">
        <v>35</v>
      </c>
      <c r="J526" t="s">
        <v>38</v>
      </c>
      <c r="K526" s="5">
        <v>35</v>
      </c>
    </row>
    <row r="527" spans="1:11" x14ac:dyDescent="0.2">
      <c r="A527" t="s">
        <v>822</v>
      </c>
      <c r="B527" s="4">
        <v>46183</v>
      </c>
      <c r="C527" t="s">
        <v>228</v>
      </c>
      <c r="D527" t="s">
        <v>47</v>
      </c>
      <c r="E527" t="s">
        <v>42</v>
      </c>
      <c r="F527" t="s">
        <v>36</v>
      </c>
      <c r="G527" t="s">
        <v>37</v>
      </c>
      <c r="H527">
        <v>1</v>
      </c>
      <c r="I527" s="5">
        <v>35</v>
      </c>
      <c r="J527" t="s">
        <v>38</v>
      </c>
      <c r="K527" s="5">
        <v>35</v>
      </c>
    </row>
    <row r="528" spans="1:11" x14ac:dyDescent="0.2">
      <c r="A528" t="s">
        <v>823</v>
      </c>
      <c r="B528" s="4">
        <v>46183</v>
      </c>
      <c r="C528" t="s">
        <v>498</v>
      </c>
      <c r="D528" t="s">
        <v>114</v>
      </c>
      <c r="E528" t="s">
        <v>91</v>
      </c>
      <c r="F528" t="s">
        <v>51</v>
      </c>
      <c r="G528" t="s">
        <v>55</v>
      </c>
      <c r="H528">
        <v>4</v>
      </c>
      <c r="I528" s="5">
        <v>22</v>
      </c>
      <c r="J528" t="s">
        <v>38</v>
      </c>
      <c r="K528" s="5">
        <v>88</v>
      </c>
    </row>
    <row r="529" spans="1:11" x14ac:dyDescent="0.2">
      <c r="A529" t="s">
        <v>824</v>
      </c>
      <c r="B529" s="4">
        <v>46183</v>
      </c>
      <c r="C529" t="s">
        <v>113</v>
      </c>
      <c r="D529" t="s">
        <v>47</v>
      </c>
      <c r="E529" t="s">
        <v>42</v>
      </c>
      <c r="F529" t="s">
        <v>43</v>
      </c>
      <c r="G529" t="s">
        <v>44</v>
      </c>
      <c r="H529">
        <v>2</v>
      </c>
      <c r="I529" s="5">
        <v>99</v>
      </c>
      <c r="J529" t="s">
        <v>38</v>
      </c>
      <c r="K529" s="5">
        <v>198</v>
      </c>
    </row>
    <row r="530" spans="1:11" x14ac:dyDescent="0.2">
      <c r="A530" t="s">
        <v>825</v>
      </c>
      <c r="B530" s="4">
        <v>46183</v>
      </c>
      <c r="C530" t="s">
        <v>356</v>
      </c>
      <c r="D530" t="s">
        <v>41</v>
      </c>
      <c r="E530" t="s">
        <v>42</v>
      </c>
      <c r="F530" t="s">
        <v>36</v>
      </c>
      <c r="G530" t="s">
        <v>68</v>
      </c>
      <c r="H530">
        <v>1</v>
      </c>
      <c r="I530" s="5">
        <v>79</v>
      </c>
      <c r="J530" t="s">
        <v>38</v>
      </c>
      <c r="K530" s="5">
        <v>79</v>
      </c>
    </row>
    <row r="531" spans="1:11" x14ac:dyDescent="0.2">
      <c r="A531" t="s">
        <v>826</v>
      </c>
      <c r="B531" s="4">
        <v>46183</v>
      </c>
      <c r="C531" t="s">
        <v>411</v>
      </c>
      <c r="D531" t="s">
        <v>34</v>
      </c>
      <c r="E531" t="s">
        <v>91</v>
      </c>
      <c r="F531" t="s">
        <v>71</v>
      </c>
      <c r="G531" t="s">
        <v>92</v>
      </c>
      <c r="H531">
        <v>1</v>
      </c>
      <c r="I531" s="5">
        <v>65</v>
      </c>
      <c r="J531" t="s">
        <v>65</v>
      </c>
      <c r="K531" s="5">
        <v>65</v>
      </c>
    </row>
    <row r="532" spans="1:11" x14ac:dyDescent="0.2">
      <c r="A532" t="s">
        <v>827</v>
      </c>
      <c r="B532" s="4">
        <v>46183</v>
      </c>
      <c r="C532" t="s">
        <v>663</v>
      </c>
      <c r="D532" t="s">
        <v>58</v>
      </c>
      <c r="E532" t="s">
        <v>35</v>
      </c>
      <c r="F532" t="s">
        <v>71</v>
      </c>
      <c r="G532" t="s">
        <v>88</v>
      </c>
      <c r="H532">
        <v>1</v>
      </c>
      <c r="I532" s="5">
        <v>75</v>
      </c>
      <c r="J532" t="s">
        <v>38</v>
      </c>
      <c r="K532" s="5">
        <v>75</v>
      </c>
    </row>
    <row r="533" spans="1:11" x14ac:dyDescent="0.2">
      <c r="A533" t="s">
        <v>828</v>
      </c>
      <c r="B533" s="4">
        <v>46185</v>
      </c>
      <c r="C533" t="s">
        <v>350</v>
      </c>
      <c r="D533" t="s">
        <v>114</v>
      </c>
      <c r="E533" t="s">
        <v>35</v>
      </c>
      <c r="F533" t="s">
        <v>36</v>
      </c>
      <c r="G533" t="s">
        <v>122</v>
      </c>
      <c r="H533">
        <v>1</v>
      </c>
      <c r="I533" s="5">
        <v>22.5</v>
      </c>
      <c r="J533" t="s">
        <v>38</v>
      </c>
      <c r="K533" s="5">
        <v>22.5</v>
      </c>
    </row>
    <row r="534" spans="1:11" x14ac:dyDescent="0.2">
      <c r="A534" t="s">
        <v>829</v>
      </c>
      <c r="B534" s="4">
        <v>46186</v>
      </c>
      <c r="C534" t="s">
        <v>358</v>
      </c>
      <c r="D534" t="s">
        <v>47</v>
      </c>
      <c r="E534" t="s">
        <v>91</v>
      </c>
      <c r="F534" t="s">
        <v>36</v>
      </c>
      <c r="G534" t="s">
        <v>122</v>
      </c>
      <c r="H534">
        <v>3</v>
      </c>
      <c r="I534" s="5">
        <v>25</v>
      </c>
      <c r="J534" t="s">
        <v>38</v>
      </c>
      <c r="K534" s="5">
        <v>75</v>
      </c>
    </row>
    <row r="535" spans="1:11" x14ac:dyDescent="0.2">
      <c r="A535" t="s">
        <v>830</v>
      </c>
      <c r="B535" s="4">
        <v>46186</v>
      </c>
      <c r="C535" t="s">
        <v>383</v>
      </c>
      <c r="D535" t="s">
        <v>34</v>
      </c>
      <c r="E535" t="s">
        <v>91</v>
      </c>
      <c r="F535" t="s">
        <v>43</v>
      </c>
      <c r="G535" t="s">
        <v>142</v>
      </c>
      <c r="H535">
        <v>1</v>
      </c>
      <c r="I535" s="5">
        <v>32</v>
      </c>
      <c r="J535" t="s">
        <v>65</v>
      </c>
      <c r="K535" s="5">
        <v>32</v>
      </c>
    </row>
    <row r="536" spans="1:11" x14ac:dyDescent="0.2">
      <c r="A536" t="s">
        <v>831</v>
      </c>
      <c r="B536" s="4">
        <v>46186</v>
      </c>
      <c r="C536" t="s">
        <v>724</v>
      </c>
      <c r="D536" t="s">
        <v>34</v>
      </c>
      <c r="E536" t="s">
        <v>35</v>
      </c>
      <c r="F536" t="s">
        <v>71</v>
      </c>
      <c r="G536" t="s">
        <v>137</v>
      </c>
      <c r="H536">
        <v>3</v>
      </c>
      <c r="I536" s="5">
        <v>115.5</v>
      </c>
      <c r="J536" t="s">
        <v>61</v>
      </c>
      <c r="K536" s="5">
        <v>346.5</v>
      </c>
    </row>
    <row r="537" spans="1:11" x14ac:dyDescent="0.2">
      <c r="A537" t="s">
        <v>832</v>
      </c>
      <c r="B537" s="4">
        <v>46186</v>
      </c>
      <c r="C537" t="s">
        <v>730</v>
      </c>
      <c r="D537" t="s">
        <v>34</v>
      </c>
      <c r="E537" t="s">
        <v>35</v>
      </c>
      <c r="F537" t="s">
        <v>71</v>
      </c>
      <c r="G537" t="s">
        <v>137</v>
      </c>
      <c r="H537">
        <v>1</v>
      </c>
      <c r="I537" s="5">
        <v>110</v>
      </c>
      <c r="J537" t="s">
        <v>65</v>
      </c>
      <c r="K537" s="5">
        <v>110</v>
      </c>
    </row>
    <row r="538" spans="1:11" x14ac:dyDescent="0.2">
      <c r="A538" t="s">
        <v>833</v>
      </c>
      <c r="B538" s="4">
        <v>46186</v>
      </c>
      <c r="C538" t="s">
        <v>834</v>
      </c>
      <c r="D538" t="s">
        <v>58</v>
      </c>
      <c r="E538" t="s">
        <v>35</v>
      </c>
      <c r="F538" t="s">
        <v>59</v>
      </c>
      <c r="G538" t="s">
        <v>111</v>
      </c>
      <c r="H538">
        <v>2</v>
      </c>
      <c r="I538" s="5">
        <v>67.5</v>
      </c>
      <c r="J538" t="s">
        <v>61</v>
      </c>
      <c r="K538" s="5">
        <v>135</v>
      </c>
    </row>
    <row r="539" spans="1:11" x14ac:dyDescent="0.2">
      <c r="A539" t="s">
        <v>835</v>
      </c>
      <c r="B539" s="4">
        <v>46187</v>
      </c>
      <c r="C539" t="s">
        <v>385</v>
      </c>
      <c r="D539" t="s">
        <v>47</v>
      </c>
      <c r="E539" t="s">
        <v>42</v>
      </c>
      <c r="F539" t="s">
        <v>71</v>
      </c>
      <c r="G539" t="s">
        <v>92</v>
      </c>
      <c r="H539">
        <v>1</v>
      </c>
      <c r="I539" s="5">
        <v>65</v>
      </c>
      <c r="J539" t="s">
        <v>38</v>
      </c>
      <c r="K539" s="5">
        <v>65</v>
      </c>
    </row>
    <row r="540" spans="1:11" x14ac:dyDescent="0.2">
      <c r="A540" t="s">
        <v>836</v>
      </c>
      <c r="B540" s="4">
        <v>46187</v>
      </c>
      <c r="C540" t="s">
        <v>118</v>
      </c>
      <c r="D540" t="s">
        <v>114</v>
      </c>
      <c r="E540" t="s">
        <v>35</v>
      </c>
      <c r="F540" t="s">
        <v>51</v>
      </c>
      <c r="G540" t="s">
        <v>155</v>
      </c>
      <c r="H540">
        <v>3</v>
      </c>
      <c r="I540" s="5">
        <v>63</v>
      </c>
      <c r="J540" t="s">
        <v>38</v>
      </c>
      <c r="K540" s="5">
        <v>189</v>
      </c>
    </row>
    <row r="541" spans="1:11" x14ac:dyDescent="0.2">
      <c r="A541" t="s">
        <v>837</v>
      </c>
      <c r="B541" s="4">
        <v>46187</v>
      </c>
      <c r="C541" t="s">
        <v>118</v>
      </c>
      <c r="D541" t="s">
        <v>41</v>
      </c>
      <c r="E541" t="s">
        <v>91</v>
      </c>
      <c r="F541" t="s">
        <v>43</v>
      </c>
      <c r="G541" t="s">
        <v>48</v>
      </c>
      <c r="H541">
        <v>3</v>
      </c>
      <c r="I541" s="5">
        <v>187.95</v>
      </c>
      <c r="J541" t="s">
        <v>61</v>
      </c>
      <c r="K541" s="5">
        <v>563.85</v>
      </c>
    </row>
    <row r="542" spans="1:11" x14ac:dyDescent="0.2">
      <c r="A542" t="s">
        <v>838</v>
      </c>
      <c r="B542" s="4">
        <v>46187</v>
      </c>
      <c r="C542" t="s">
        <v>550</v>
      </c>
      <c r="D542" t="s">
        <v>114</v>
      </c>
      <c r="E542" t="s">
        <v>35</v>
      </c>
      <c r="F542" t="s">
        <v>36</v>
      </c>
      <c r="G542" t="s">
        <v>85</v>
      </c>
      <c r="H542">
        <v>1</v>
      </c>
      <c r="I542" s="5">
        <v>89</v>
      </c>
      <c r="J542" t="s">
        <v>65</v>
      </c>
      <c r="K542" s="5">
        <v>89</v>
      </c>
    </row>
    <row r="543" spans="1:11" x14ac:dyDescent="0.2">
      <c r="A543" t="s">
        <v>839</v>
      </c>
      <c r="B543" s="4">
        <v>46188</v>
      </c>
      <c r="C543" t="s">
        <v>821</v>
      </c>
      <c r="D543" t="s">
        <v>114</v>
      </c>
      <c r="E543" t="s">
        <v>91</v>
      </c>
      <c r="F543" t="s">
        <v>59</v>
      </c>
      <c r="G543" t="s">
        <v>60</v>
      </c>
      <c r="H543">
        <v>1</v>
      </c>
      <c r="I543" s="5">
        <v>120</v>
      </c>
      <c r="J543" t="s">
        <v>61</v>
      </c>
      <c r="K543" s="5">
        <v>120</v>
      </c>
    </row>
    <row r="544" spans="1:11" x14ac:dyDescent="0.2">
      <c r="A544" t="s">
        <v>840</v>
      </c>
      <c r="B544" s="4">
        <v>46188</v>
      </c>
      <c r="C544" t="s">
        <v>189</v>
      </c>
      <c r="D544" t="s">
        <v>114</v>
      </c>
      <c r="E544" t="s">
        <v>42</v>
      </c>
      <c r="F544" t="s">
        <v>43</v>
      </c>
      <c r="G544" t="s">
        <v>142</v>
      </c>
      <c r="H544">
        <v>3</v>
      </c>
      <c r="I544" s="5">
        <v>32</v>
      </c>
      <c r="J544" t="s">
        <v>61</v>
      </c>
      <c r="K544" s="5">
        <v>96</v>
      </c>
    </row>
    <row r="545" spans="1:11" x14ac:dyDescent="0.2">
      <c r="A545" t="s">
        <v>841</v>
      </c>
      <c r="B545" s="4">
        <v>46188</v>
      </c>
      <c r="C545" t="s">
        <v>254</v>
      </c>
      <c r="D545" t="s">
        <v>41</v>
      </c>
      <c r="E545" t="s">
        <v>35</v>
      </c>
      <c r="F545" t="s">
        <v>51</v>
      </c>
      <c r="G545" t="s">
        <v>55</v>
      </c>
      <c r="H545">
        <v>2</v>
      </c>
      <c r="I545" s="5">
        <v>22</v>
      </c>
      <c r="J545" t="s">
        <v>38</v>
      </c>
      <c r="K545" s="5">
        <v>44</v>
      </c>
    </row>
    <row r="546" spans="1:11" x14ac:dyDescent="0.2">
      <c r="A546" t="s">
        <v>842</v>
      </c>
      <c r="B546" s="4">
        <v>46188</v>
      </c>
      <c r="C546" t="s">
        <v>275</v>
      </c>
      <c r="D546" t="s">
        <v>34</v>
      </c>
      <c r="E546" t="s">
        <v>35</v>
      </c>
      <c r="F546" t="s">
        <v>43</v>
      </c>
      <c r="G546" t="s">
        <v>44</v>
      </c>
      <c r="H546">
        <v>4</v>
      </c>
      <c r="I546" s="5">
        <v>89.1</v>
      </c>
      <c r="J546" t="s">
        <v>61</v>
      </c>
      <c r="K546" s="5">
        <v>356.4</v>
      </c>
    </row>
    <row r="547" spans="1:11" x14ac:dyDescent="0.2">
      <c r="A547" t="s">
        <v>843</v>
      </c>
      <c r="B547" s="4">
        <v>46188</v>
      </c>
      <c r="C547" t="s">
        <v>295</v>
      </c>
      <c r="D547" t="s">
        <v>58</v>
      </c>
      <c r="E547" t="s">
        <v>91</v>
      </c>
      <c r="F547" t="s">
        <v>71</v>
      </c>
      <c r="G547" t="s">
        <v>72</v>
      </c>
      <c r="H547">
        <v>4</v>
      </c>
      <c r="I547" s="5">
        <v>57.75</v>
      </c>
      <c r="J547" t="s">
        <v>38</v>
      </c>
      <c r="K547" s="5">
        <v>231</v>
      </c>
    </row>
    <row r="548" spans="1:11" x14ac:dyDescent="0.2">
      <c r="A548" t="s">
        <v>844</v>
      </c>
      <c r="B548" s="4">
        <v>46188</v>
      </c>
      <c r="C548" t="s">
        <v>574</v>
      </c>
      <c r="D548" t="s">
        <v>41</v>
      </c>
      <c r="E548" t="s">
        <v>35</v>
      </c>
      <c r="F548" t="s">
        <v>71</v>
      </c>
      <c r="G548" t="s">
        <v>92</v>
      </c>
      <c r="H548">
        <v>1</v>
      </c>
      <c r="I548" s="5">
        <v>68.25</v>
      </c>
      <c r="J548" t="s">
        <v>65</v>
      </c>
      <c r="K548" s="5">
        <v>68.25</v>
      </c>
    </row>
    <row r="549" spans="1:11" x14ac:dyDescent="0.2">
      <c r="A549" t="s">
        <v>845</v>
      </c>
      <c r="B549" s="4">
        <v>46189</v>
      </c>
      <c r="C549" t="s">
        <v>846</v>
      </c>
      <c r="D549" t="s">
        <v>41</v>
      </c>
      <c r="E549" t="s">
        <v>91</v>
      </c>
      <c r="F549" t="s">
        <v>59</v>
      </c>
      <c r="G549" t="s">
        <v>80</v>
      </c>
      <c r="H549">
        <v>1</v>
      </c>
      <c r="I549" s="5">
        <v>36.75</v>
      </c>
      <c r="J549" t="s">
        <v>61</v>
      </c>
      <c r="K549" s="5">
        <v>36.75</v>
      </c>
    </row>
    <row r="550" spans="1:11" x14ac:dyDescent="0.2">
      <c r="A550" t="s">
        <v>847</v>
      </c>
      <c r="B550" s="4">
        <v>46189</v>
      </c>
      <c r="C550" t="s">
        <v>275</v>
      </c>
      <c r="D550" t="s">
        <v>34</v>
      </c>
      <c r="E550" t="s">
        <v>42</v>
      </c>
      <c r="F550" t="s">
        <v>71</v>
      </c>
      <c r="G550" t="s">
        <v>137</v>
      </c>
      <c r="H550">
        <v>1</v>
      </c>
      <c r="I550" s="5">
        <v>110</v>
      </c>
      <c r="J550" t="s">
        <v>38</v>
      </c>
      <c r="K550" s="5">
        <v>110</v>
      </c>
    </row>
    <row r="551" spans="1:11" x14ac:dyDescent="0.2">
      <c r="A551" t="s">
        <v>848</v>
      </c>
      <c r="B551" s="4">
        <v>46190</v>
      </c>
      <c r="C551" t="s">
        <v>261</v>
      </c>
      <c r="D551" t="s">
        <v>47</v>
      </c>
      <c r="E551" t="s">
        <v>35</v>
      </c>
      <c r="F551" t="s">
        <v>59</v>
      </c>
      <c r="G551" t="s">
        <v>80</v>
      </c>
      <c r="H551">
        <v>2</v>
      </c>
      <c r="I551" s="5">
        <v>35</v>
      </c>
      <c r="J551" t="s">
        <v>38</v>
      </c>
      <c r="K551" s="5">
        <v>70</v>
      </c>
    </row>
    <row r="552" spans="1:11" x14ac:dyDescent="0.2">
      <c r="A552" t="s">
        <v>849</v>
      </c>
      <c r="B552" s="4">
        <v>46190</v>
      </c>
      <c r="C552" t="s">
        <v>762</v>
      </c>
      <c r="D552" t="s">
        <v>34</v>
      </c>
      <c r="E552" t="s">
        <v>91</v>
      </c>
      <c r="F552" t="s">
        <v>71</v>
      </c>
      <c r="G552" t="s">
        <v>92</v>
      </c>
      <c r="H552">
        <v>1</v>
      </c>
      <c r="I552" s="5">
        <v>68.25</v>
      </c>
      <c r="J552" t="s">
        <v>38</v>
      </c>
      <c r="K552" s="5">
        <v>68.25</v>
      </c>
    </row>
    <row r="553" spans="1:11" x14ac:dyDescent="0.2">
      <c r="A553" t="s">
        <v>850</v>
      </c>
      <c r="B553" s="4">
        <v>46190</v>
      </c>
      <c r="C553" t="s">
        <v>851</v>
      </c>
      <c r="D553" t="s">
        <v>47</v>
      </c>
      <c r="E553" t="s">
        <v>35</v>
      </c>
      <c r="F553" t="s">
        <v>71</v>
      </c>
      <c r="G553" t="s">
        <v>95</v>
      </c>
      <c r="H553">
        <v>1</v>
      </c>
      <c r="I553" s="5">
        <v>20</v>
      </c>
      <c r="J553" t="s">
        <v>38</v>
      </c>
      <c r="K553" s="5">
        <v>20</v>
      </c>
    </row>
    <row r="554" spans="1:11" x14ac:dyDescent="0.2">
      <c r="A554" t="s">
        <v>852</v>
      </c>
      <c r="B554" s="4">
        <v>46191</v>
      </c>
      <c r="C554" t="s">
        <v>778</v>
      </c>
      <c r="D554" t="s">
        <v>41</v>
      </c>
      <c r="E554" t="s">
        <v>91</v>
      </c>
      <c r="F554" t="s">
        <v>59</v>
      </c>
      <c r="G554" t="s">
        <v>60</v>
      </c>
      <c r="H554">
        <v>3</v>
      </c>
      <c r="I554" s="5">
        <v>126</v>
      </c>
      <c r="J554" t="s">
        <v>38</v>
      </c>
      <c r="K554" s="5">
        <v>378</v>
      </c>
    </row>
    <row r="555" spans="1:11" x14ac:dyDescent="0.2">
      <c r="A555" t="s">
        <v>853</v>
      </c>
      <c r="B555" s="4">
        <v>46191</v>
      </c>
      <c r="C555" t="s">
        <v>214</v>
      </c>
      <c r="D555" t="s">
        <v>58</v>
      </c>
      <c r="E555" t="s">
        <v>35</v>
      </c>
      <c r="F555" t="s">
        <v>59</v>
      </c>
      <c r="G555" t="s">
        <v>80</v>
      </c>
      <c r="H555">
        <v>1</v>
      </c>
      <c r="I555" s="5">
        <v>35</v>
      </c>
      <c r="J555" t="s">
        <v>38</v>
      </c>
      <c r="K555" s="5">
        <v>35</v>
      </c>
    </row>
    <row r="556" spans="1:11" x14ac:dyDescent="0.2">
      <c r="A556" t="s">
        <v>854</v>
      </c>
      <c r="B556" s="4">
        <v>46191</v>
      </c>
      <c r="C556" t="s">
        <v>216</v>
      </c>
      <c r="D556" t="s">
        <v>34</v>
      </c>
      <c r="E556" t="s">
        <v>42</v>
      </c>
      <c r="F556" t="s">
        <v>36</v>
      </c>
      <c r="G556" t="s">
        <v>37</v>
      </c>
      <c r="H556">
        <v>1</v>
      </c>
      <c r="I556" s="5">
        <v>35</v>
      </c>
      <c r="J556" t="s">
        <v>38</v>
      </c>
      <c r="K556" s="5">
        <v>35</v>
      </c>
    </row>
    <row r="557" spans="1:11" x14ac:dyDescent="0.2">
      <c r="A557" t="s">
        <v>855</v>
      </c>
      <c r="B557" s="4">
        <v>46191</v>
      </c>
      <c r="C557" t="s">
        <v>856</v>
      </c>
      <c r="D557" t="s">
        <v>47</v>
      </c>
      <c r="E557" t="s">
        <v>35</v>
      </c>
      <c r="F557" t="s">
        <v>43</v>
      </c>
      <c r="G557" t="s">
        <v>48</v>
      </c>
      <c r="H557">
        <v>1</v>
      </c>
      <c r="I557" s="5">
        <v>187.95</v>
      </c>
      <c r="J557" t="s">
        <v>38</v>
      </c>
      <c r="K557" s="5">
        <v>187.95</v>
      </c>
    </row>
    <row r="558" spans="1:11" x14ac:dyDescent="0.2">
      <c r="A558" t="s">
        <v>857</v>
      </c>
      <c r="B558" s="4">
        <v>46191</v>
      </c>
      <c r="C558" t="s">
        <v>202</v>
      </c>
      <c r="D558" t="s">
        <v>58</v>
      </c>
      <c r="E558" t="s">
        <v>35</v>
      </c>
      <c r="F558" t="s">
        <v>36</v>
      </c>
      <c r="G558" t="s">
        <v>122</v>
      </c>
      <c r="H558">
        <v>2</v>
      </c>
      <c r="I558" s="5">
        <v>25</v>
      </c>
      <c r="J558" t="s">
        <v>38</v>
      </c>
      <c r="K558" s="5">
        <v>50</v>
      </c>
    </row>
    <row r="559" spans="1:11" x14ac:dyDescent="0.2">
      <c r="A559" t="s">
        <v>858</v>
      </c>
      <c r="B559" s="4">
        <v>46191</v>
      </c>
      <c r="C559" t="s">
        <v>318</v>
      </c>
      <c r="D559" t="s">
        <v>114</v>
      </c>
      <c r="E559" t="s">
        <v>35</v>
      </c>
      <c r="F559" t="s">
        <v>36</v>
      </c>
      <c r="G559" t="s">
        <v>68</v>
      </c>
      <c r="H559">
        <v>1</v>
      </c>
      <c r="I559" s="5">
        <v>82.95</v>
      </c>
      <c r="J559" t="s">
        <v>38</v>
      </c>
      <c r="K559" s="5">
        <v>82.95</v>
      </c>
    </row>
    <row r="560" spans="1:11" x14ac:dyDescent="0.2">
      <c r="A560" t="s">
        <v>859</v>
      </c>
      <c r="B560" s="4">
        <v>46191</v>
      </c>
      <c r="C560" t="s">
        <v>40</v>
      </c>
      <c r="D560" t="s">
        <v>47</v>
      </c>
      <c r="E560" t="s">
        <v>35</v>
      </c>
      <c r="F560" t="s">
        <v>51</v>
      </c>
      <c r="G560" t="s">
        <v>52</v>
      </c>
      <c r="H560">
        <v>1</v>
      </c>
      <c r="I560" s="5">
        <v>47.25</v>
      </c>
      <c r="J560" t="s">
        <v>38</v>
      </c>
      <c r="K560" s="5">
        <v>47.25</v>
      </c>
    </row>
    <row r="561" spans="1:11" x14ac:dyDescent="0.2">
      <c r="A561" t="s">
        <v>860</v>
      </c>
      <c r="B561" s="4">
        <v>46191</v>
      </c>
      <c r="C561" t="s">
        <v>861</v>
      </c>
      <c r="D561" t="s">
        <v>58</v>
      </c>
      <c r="E561" t="s">
        <v>35</v>
      </c>
      <c r="F561" t="s">
        <v>51</v>
      </c>
      <c r="G561" t="s">
        <v>52</v>
      </c>
      <c r="H561">
        <v>2</v>
      </c>
      <c r="I561" s="5">
        <v>40.5</v>
      </c>
      <c r="J561" t="s">
        <v>38</v>
      </c>
      <c r="K561" s="5">
        <v>81</v>
      </c>
    </row>
    <row r="562" spans="1:11" x14ac:dyDescent="0.2">
      <c r="A562" t="s">
        <v>862</v>
      </c>
      <c r="B562" s="4">
        <v>46191</v>
      </c>
      <c r="C562" t="s">
        <v>79</v>
      </c>
      <c r="D562" t="s">
        <v>47</v>
      </c>
      <c r="E562" t="s">
        <v>91</v>
      </c>
      <c r="F562" t="s">
        <v>36</v>
      </c>
      <c r="G562" t="s">
        <v>122</v>
      </c>
      <c r="H562">
        <v>2</v>
      </c>
      <c r="I562" s="5">
        <v>26.25</v>
      </c>
      <c r="J562" t="s">
        <v>38</v>
      </c>
      <c r="K562" s="5">
        <v>52.5</v>
      </c>
    </row>
    <row r="563" spans="1:11" x14ac:dyDescent="0.2">
      <c r="A563" t="s">
        <v>863</v>
      </c>
      <c r="B563" s="4">
        <v>46192</v>
      </c>
      <c r="C563" t="s">
        <v>365</v>
      </c>
      <c r="D563" t="s">
        <v>58</v>
      </c>
      <c r="E563" t="s">
        <v>35</v>
      </c>
      <c r="F563" t="s">
        <v>51</v>
      </c>
      <c r="G563" t="s">
        <v>119</v>
      </c>
      <c r="H563">
        <v>2</v>
      </c>
      <c r="I563" s="5">
        <v>30</v>
      </c>
      <c r="J563" t="s">
        <v>38</v>
      </c>
      <c r="K563" s="5">
        <v>60</v>
      </c>
    </row>
    <row r="564" spans="1:11" x14ac:dyDescent="0.2">
      <c r="A564" t="s">
        <v>864</v>
      </c>
      <c r="B564" s="4">
        <v>46192</v>
      </c>
      <c r="C564" t="s">
        <v>113</v>
      </c>
      <c r="D564" t="s">
        <v>47</v>
      </c>
      <c r="E564" t="s">
        <v>42</v>
      </c>
      <c r="F564" t="s">
        <v>36</v>
      </c>
      <c r="G564" t="s">
        <v>85</v>
      </c>
      <c r="H564">
        <v>1</v>
      </c>
      <c r="I564" s="5">
        <v>80.099999999999994</v>
      </c>
      <c r="J564" t="s">
        <v>65</v>
      </c>
      <c r="K564" s="5">
        <v>80.099999999999994</v>
      </c>
    </row>
    <row r="565" spans="1:11" x14ac:dyDescent="0.2">
      <c r="A565" t="s">
        <v>865</v>
      </c>
      <c r="B565" s="4">
        <v>46192</v>
      </c>
      <c r="C565" t="s">
        <v>424</v>
      </c>
      <c r="D565" t="s">
        <v>114</v>
      </c>
      <c r="E565" t="s">
        <v>35</v>
      </c>
      <c r="F565" t="s">
        <v>43</v>
      </c>
      <c r="G565" t="s">
        <v>142</v>
      </c>
      <c r="H565">
        <v>3</v>
      </c>
      <c r="I565" s="5">
        <v>32</v>
      </c>
      <c r="J565" t="s">
        <v>61</v>
      </c>
      <c r="K565" s="5">
        <v>96</v>
      </c>
    </row>
    <row r="566" spans="1:11" x14ac:dyDescent="0.2">
      <c r="A566" t="s">
        <v>866</v>
      </c>
      <c r="B566" s="4">
        <v>46192</v>
      </c>
      <c r="C566" t="s">
        <v>631</v>
      </c>
      <c r="D566" t="s">
        <v>47</v>
      </c>
      <c r="E566" t="s">
        <v>35</v>
      </c>
      <c r="F566" t="s">
        <v>51</v>
      </c>
      <c r="G566" t="s">
        <v>99</v>
      </c>
      <c r="H566">
        <v>1</v>
      </c>
      <c r="I566" s="5">
        <v>18</v>
      </c>
      <c r="J566" t="s">
        <v>38</v>
      </c>
      <c r="K566" s="5">
        <v>18</v>
      </c>
    </row>
    <row r="567" spans="1:11" x14ac:dyDescent="0.2">
      <c r="A567" t="s">
        <v>867</v>
      </c>
      <c r="B567" s="4">
        <v>46193</v>
      </c>
      <c r="C567" t="s">
        <v>449</v>
      </c>
      <c r="D567" t="s">
        <v>47</v>
      </c>
      <c r="E567" t="s">
        <v>35</v>
      </c>
      <c r="F567" t="s">
        <v>36</v>
      </c>
      <c r="G567" t="s">
        <v>122</v>
      </c>
      <c r="H567">
        <v>1</v>
      </c>
      <c r="I567" s="5">
        <v>22.5</v>
      </c>
      <c r="J567" t="s">
        <v>38</v>
      </c>
      <c r="K567" s="5">
        <v>22.5</v>
      </c>
    </row>
    <row r="568" spans="1:11" x14ac:dyDescent="0.2">
      <c r="A568" t="s">
        <v>868</v>
      </c>
      <c r="B568" s="4">
        <v>46193</v>
      </c>
      <c r="C568" t="s">
        <v>373</v>
      </c>
      <c r="D568" t="s">
        <v>34</v>
      </c>
      <c r="E568" t="s">
        <v>35</v>
      </c>
      <c r="F568" t="s">
        <v>59</v>
      </c>
      <c r="G568" t="s">
        <v>80</v>
      </c>
      <c r="H568">
        <v>1</v>
      </c>
      <c r="I568" s="5">
        <v>36.75</v>
      </c>
      <c r="J568" t="s">
        <v>61</v>
      </c>
      <c r="K568" s="5">
        <v>36.75</v>
      </c>
    </row>
    <row r="569" spans="1:11" x14ac:dyDescent="0.2">
      <c r="A569" t="s">
        <v>869</v>
      </c>
      <c r="B569" s="4">
        <v>46193</v>
      </c>
      <c r="C569" t="s">
        <v>870</v>
      </c>
      <c r="D569" t="s">
        <v>47</v>
      </c>
      <c r="E569" t="s">
        <v>42</v>
      </c>
      <c r="F569" t="s">
        <v>36</v>
      </c>
      <c r="G569" t="s">
        <v>37</v>
      </c>
      <c r="H569">
        <v>1</v>
      </c>
      <c r="I569" s="5">
        <v>36.75</v>
      </c>
      <c r="J569" t="s">
        <v>65</v>
      </c>
      <c r="K569" s="5">
        <v>36.75</v>
      </c>
    </row>
    <row r="570" spans="1:11" x14ac:dyDescent="0.2">
      <c r="A570" t="s">
        <v>871</v>
      </c>
      <c r="B570" s="4">
        <v>46193</v>
      </c>
      <c r="C570" t="s">
        <v>297</v>
      </c>
      <c r="D570" t="s">
        <v>41</v>
      </c>
      <c r="E570" t="s">
        <v>91</v>
      </c>
      <c r="F570" t="s">
        <v>71</v>
      </c>
      <c r="G570" t="s">
        <v>88</v>
      </c>
      <c r="H570">
        <v>1</v>
      </c>
      <c r="I570" s="5">
        <v>75</v>
      </c>
      <c r="J570" t="s">
        <v>65</v>
      </c>
      <c r="K570" s="5">
        <v>75</v>
      </c>
    </row>
    <row r="571" spans="1:11" x14ac:dyDescent="0.2">
      <c r="A571" t="s">
        <v>872</v>
      </c>
      <c r="B571" s="4">
        <v>46193</v>
      </c>
      <c r="C571" t="s">
        <v>328</v>
      </c>
      <c r="D571" t="s">
        <v>47</v>
      </c>
      <c r="E571" t="s">
        <v>35</v>
      </c>
      <c r="F571" t="s">
        <v>71</v>
      </c>
      <c r="G571" t="s">
        <v>137</v>
      </c>
      <c r="H571">
        <v>2</v>
      </c>
      <c r="I571" s="5">
        <v>110</v>
      </c>
      <c r="J571" t="s">
        <v>38</v>
      </c>
      <c r="K571" s="5">
        <v>220</v>
      </c>
    </row>
    <row r="572" spans="1:11" x14ac:dyDescent="0.2">
      <c r="A572" t="s">
        <v>873</v>
      </c>
      <c r="B572" s="4">
        <v>46193</v>
      </c>
      <c r="C572" t="s">
        <v>507</v>
      </c>
      <c r="D572" t="s">
        <v>47</v>
      </c>
      <c r="E572" t="s">
        <v>35</v>
      </c>
      <c r="F572" t="s">
        <v>43</v>
      </c>
      <c r="G572" t="s">
        <v>142</v>
      </c>
      <c r="H572">
        <v>4</v>
      </c>
      <c r="I572" s="5">
        <v>32</v>
      </c>
      <c r="J572" t="s">
        <v>38</v>
      </c>
      <c r="K572" s="5">
        <v>128</v>
      </c>
    </row>
    <row r="573" spans="1:11" x14ac:dyDescent="0.2">
      <c r="A573" t="s">
        <v>874</v>
      </c>
      <c r="B573" s="4">
        <v>46194</v>
      </c>
      <c r="C573" t="s">
        <v>821</v>
      </c>
      <c r="D573" t="s">
        <v>41</v>
      </c>
      <c r="E573" t="s">
        <v>35</v>
      </c>
      <c r="F573" t="s">
        <v>43</v>
      </c>
      <c r="G573" t="s">
        <v>77</v>
      </c>
      <c r="H573">
        <v>1</v>
      </c>
      <c r="I573" s="5">
        <v>45</v>
      </c>
      <c r="J573" t="s">
        <v>61</v>
      </c>
      <c r="K573" s="5">
        <v>45</v>
      </c>
    </row>
    <row r="574" spans="1:11" x14ac:dyDescent="0.2">
      <c r="A574" t="s">
        <v>875</v>
      </c>
      <c r="B574" s="4">
        <v>46194</v>
      </c>
      <c r="C574" t="s">
        <v>550</v>
      </c>
      <c r="D574" t="s">
        <v>58</v>
      </c>
      <c r="E574" t="s">
        <v>35</v>
      </c>
      <c r="F574" t="s">
        <v>59</v>
      </c>
      <c r="G574" t="s">
        <v>111</v>
      </c>
      <c r="H574">
        <v>3</v>
      </c>
      <c r="I574" s="5">
        <v>75</v>
      </c>
      <c r="J574" t="s">
        <v>61</v>
      </c>
      <c r="K574" s="5">
        <v>225</v>
      </c>
    </row>
    <row r="575" spans="1:11" x14ac:dyDescent="0.2">
      <c r="A575" t="s">
        <v>876</v>
      </c>
      <c r="B575" s="4">
        <v>46195</v>
      </c>
      <c r="C575" t="s">
        <v>397</v>
      </c>
      <c r="D575" t="s">
        <v>47</v>
      </c>
      <c r="E575" t="s">
        <v>91</v>
      </c>
      <c r="F575" t="s">
        <v>36</v>
      </c>
      <c r="G575" t="s">
        <v>37</v>
      </c>
      <c r="H575">
        <v>2</v>
      </c>
      <c r="I575" s="5">
        <v>35</v>
      </c>
      <c r="J575" t="s">
        <v>38</v>
      </c>
      <c r="K575" s="5">
        <v>70</v>
      </c>
    </row>
    <row r="576" spans="1:11" x14ac:dyDescent="0.2">
      <c r="A576" t="s">
        <v>877</v>
      </c>
      <c r="B576" s="4">
        <v>46195</v>
      </c>
      <c r="C576" t="s">
        <v>358</v>
      </c>
      <c r="D576" t="s">
        <v>41</v>
      </c>
      <c r="E576" t="s">
        <v>42</v>
      </c>
      <c r="F576" t="s">
        <v>43</v>
      </c>
      <c r="G576" t="s">
        <v>142</v>
      </c>
      <c r="H576">
        <v>4</v>
      </c>
      <c r="I576" s="5">
        <v>28.8</v>
      </c>
      <c r="J576" t="s">
        <v>65</v>
      </c>
      <c r="K576" s="5">
        <v>115.2</v>
      </c>
    </row>
    <row r="577" spans="1:11" x14ac:dyDescent="0.2">
      <c r="A577" t="s">
        <v>878</v>
      </c>
      <c r="B577" s="4">
        <v>46195</v>
      </c>
      <c r="C577" t="s">
        <v>436</v>
      </c>
      <c r="D577" t="s">
        <v>47</v>
      </c>
      <c r="E577" t="s">
        <v>42</v>
      </c>
      <c r="F577" t="s">
        <v>36</v>
      </c>
      <c r="G577" t="s">
        <v>68</v>
      </c>
      <c r="H577">
        <v>1</v>
      </c>
      <c r="I577" s="5">
        <v>79</v>
      </c>
      <c r="J577" t="s">
        <v>38</v>
      </c>
      <c r="K577" s="5">
        <v>79</v>
      </c>
    </row>
    <row r="578" spans="1:11" x14ac:dyDescent="0.2">
      <c r="A578" t="s">
        <v>879</v>
      </c>
      <c r="B578" s="4">
        <v>46196</v>
      </c>
      <c r="C578" t="s">
        <v>303</v>
      </c>
      <c r="D578" t="s">
        <v>114</v>
      </c>
      <c r="E578" t="s">
        <v>91</v>
      </c>
      <c r="F578" t="s">
        <v>71</v>
      </c>
      <c r="G578" t="s">
        <v>88</v>
      </c>
      <c r="H578">
        <v>3</v>
      </c>
      <c r="I578" s="5">
        <v>75</v>
      </c>
      <c r="J578" t="s">
        <v>38</v>
      </c>
      <c r="K578" s="5">
        <v>225</v>
      </c>
    </row>
    <row r="579" spans="1:11" x14ac:dyDescent="0.2">
      <c r="A579" t="s">
        <v>880</v>
      </c>
      <c r="B579" s="4">
        <v>46197</v>
      </c>
      <c r="C579" t="s">
        <v>568</v>
      </c>
      <c r="D579" t="s">
        <v>47</v>
      </c>
      <c r="E579" t="s">
        <v>35</v>
      </c>
      <c r="F579" t="s">
        <v>36</v>
      </c>
      <c r="G579" t="s">
        <v>37</v>
      </c>
      <c r="H579">
        <v>3</v>
      </c>
      <c r="I579" s="5">
        <v>36.75</v>
      </c>
      <c r="J579" t="s">
        <v>61</v>
      </c>
      <c r="K579" s="5">
        <v>110.25</v>
      </c>
    </row>
    <row r="580" spans="1:11" x14ac:dyDescent="0.2">
      <c r="A580" t="s">
        <v>881</v>
      </c>
      <c r="B580" s="4">
        <v>46197</v>
      </c>
      <c r="C580" t="s">
        <v>882</v>
      </c>
      <c r="D580" t="s">
        <v>47</v>
      </c>
      <c r="E580" t="s">
        <v>35</v>
      </c>
      <c r="F580" t="s">
        <v>59</v>
      </c>
      <c r="G580" t="s">
        <v>111</v>
      </c>
      <c r="H580">
        <v>2</v>
      </c>
      <c r="I580" s="5">
        <v>67.5</v>
      </c>
      <c r="J580" t="s">
        <v>38</v>
      </c>
      <c r="K580" s="5">
        <v>135</v>
      </c>
    </row>
    <row r="581" spans="1:11" x14ac:dyDescent="0.2">
      <c r="A581" t="s">
        <v>883</v>
      </c>
      <c r="B581" s="4">
        <v>46197</v>
      </c>
      <c r="C581" t="s">
        <v>461</v>
      </c>
      <c r="D581" t="s">
        <v>114</v>
      </c>
      <c r="E581" t="s">
        <v>42</v>
      </c>
      <c r="F581" t="s">
        <v>36</v>
      </c>
      <c r="G581" t="s">
        <v>152</v>
      </c>
      <c r="H581">
        <v>2</v>
      </c>
      <c r="I581" s="5">
        <v>61.95</v>
      </c>
      <c r="J581" t="s">
        <v>38</v>
      </c>
      <c r="K581" s="5">
        <v>123.9</v>
      </c>
    </row>
    <row r="582" spans="1:11" x14ac:dyDescent="0.2">
      <c r="A582" t="s">
        <v>884</v>
      </c>
      <c r="B582" s="4">
        <v>46197</v>
      </c>
      <c r="C582" t="s">
        <v>67</v>
      </c>
      <c r="D582" t="s">
        <v>34</v>
      </c>
      <c r="E582" t="s">
        <v>91</v>
      </c>
      <c r="F582" t="s">
        <v>59</v>
      </c>
      <c r="G582" t="s">
        <v>60</v>
      </c>
      <c r="H582">
        <v>1</v>
      </c>
      <c r="I582" s="5">
        <v>108</v>
      </c>
      <c r="J582" t="s">
        <v>38</v>
      </c>
      <c r="K582" s="5">
        <v>108</v>
      </c>
    </row>
    <row r="583" spans="1:11" x14ac:dyDescent="0.2">
      <c r="A583" t="s">
        <v>885</v>
      </c>
      <c r="B583" s="4">
        <v>46198</v>
      </c>
      <c r="C583" t="s">
        <v>303</v>
      </c>
      <c r="D583" t="s">
        <v>34</v>
      </c>
      <c r="E583" t="s">
        <v>35</v>
      </c>
      <c r="F583" t="s">
        <v>59</v>
      </c>
      <c r="G583" t="s">
        <v>80</v>
      </c>
      <c r="H583">
        <v>1</v>
      </c>
      <c r="I583" s="5">
        <v>35</v>
      </c>
      <c r="J583" t="s">
        <v>61</v>
      </c>
      <c r="K583" s="5">
        <v>35</v>
      </c>
    </row>
    <row r="584" spans="1:11" x14ac:dyDescent="0.2">
      <c r="A584" t="s">
        <v>886</v>
      </c>
      <c r="B584" s="4">
        <v>46198</v>
      </c>
      <c r="C584" t="s">
        <v>314</v>
      </c>
      <c r="D584" t="s">
        <v>114</v>
      </c>
      <c r="E584" t="s">
        <v>35</v>
      </c>
      <c r="F584" t="s">
        <v>36</v>
      </c>
      <c r="G584" t="s">
        <v>37</v>
      </c>
      <c r="H584">
        <v>1</v>
      </c>
      <c r="I584" s="5">
        <v>36.75</v>
      </c>
      <c r="J584" t="s">
        <v>65</v>
      </c>
      <c r="K584" s="5">
        <v>36.75</v>
      </c>
    </row>
    <row r="585" spans="1:11" x14ac:dyDescent="0.2">
      <c r="A585" t="s">
        <v>887</v>
      </c>
      <c r="B585" s="4">
        <v>46198</v>
      </c>
      <c r="C585" t="s">
        <v>888</v>
      </c>
      <c r="D585" t="s">
        <v>58</v>
      </c>
      <c r="E585" t="s">
        <v>91</v>
      </c>
      <c r="F585" t="s">
        <v>59</v>
      </c>
      <c r="G585" t="s">
        <v>106</v>
      </c>
      <c r="H585">
        <v>2</v>
      </c>
      <c r="I585" s="5">
        <v>29.4</v>
      </c>
      <c r="J585" t="s">
        <v>38</v>
      </c>
      <c r="K585" s="5">
        <v>58.8</v>
      </c>
    </row>
    <row r="586" spans="1:11" x14ac:dyDescent="0.2">
      <c r="A586" t="s">
        <v>889</v>
      </c>
      <c r="B586" s="4">
        <v>46198</v>
      </c>
      <c r="C586" t="s">
        <v>108</v>
      </c>
      <c r="D586" t="s">
        <v>41</v>
      </c>
      <c r="E586" t="s">
        <v>42</v>
      </c>
      <c r="F586" t="s">
        <v>36</v>
      </c>
      <c r="G586" t="s">
        <v>85</v>
      </c>
      <c r="H586">
        <v>3</v>
      </c>
      <c r="I586" s="5">
        <v>89</v>
      </c>
      <c r="J586" t="s">
        <v>61</v>
      </c>
      <c r="K586" s="5">
        <v>267</v>
      </c>
    </row>
    <row r="587" spans="1:11" x14ac:dyDescent="0.2">
      <c r="A587" t="s">
        <v>890</v>
      </c>
      <c r="B587" s="4">
        <v>46198</v>
      </c>
      <c r="C587" t="s">
        <v>379</v>
      </c>
      <c r="D587" t="s">
        <v>58</v>
      </c>
      <c r="E587" t="s">
        <v>42</v>
      </c>
      <c r="F587" t="s">
        <v>51</v>
      </c>
      <c r="G587" t="s">
        <v>55</v>
      </c>
      <c r="H587">
        <v>2</v>
      </c>
      <c r="I587" s="5">
        <v>22</v>
      </c>
      <c r="J587" t="s">
        <v>65</v>
      </c>
      <c r="K587" s="5">
        <v>44</v>
      </c>
    </row>
    <row r="588" spans="1:11" x14ac:dyDescent="0.2">
      <c r="A588" t="s">
        <v>891</v>
      </c>
      <c r="B588" s="4">
        <v>46199</v>
      </c>
      <c r="C588" t="s">
        <v>316</v>
      </c>
      <c r="D588" t="s">
        <v>47</v>
      </c>
      <c r="E588" t="s">
        <v>35</v>
      </c>
      <c r="F588" t="s">
        <v>71</v>
      </c>
      <c r="G588" t="s">
        <v>95</v>
      </c>
      <c r="H588">
        <v>1</v>
      </c>
      <c r="I588" s="5">
        <v>20</v>
      </c>
      <c r="J588" t="s">
        <v>61</v>
      </c>
      <c r="K588" s="5">
        <v>20</v>
      </c>
    </row>
    <row r="589" spans="1:11" x14ac:dyDescent="0.2">
      <c r="A589" t="s">
        <v>892</v>
      </c>
      <c r="B589" s="4">
        <v>46199</v>
      </c>
      <c r="C589" t="s">
        <v>579</v>
      </c>
      <c r="D589" t="s">
        <v>34</v>
      </c>
      <c r="E589" t="s">
        <v>35</v>
      </c>
      <c r="F589" t="s">
        <v>36</v>
      </c>
      <c r="G589" t="s">
        <v>152</v>
      </c>
      <c r="H589">
        <v>1</v>
      </c>
      <c r="I589" s="5">
        <v>53.1</v>
      </c>
      <c r="J589" t="s">
        <v>61</v>
      </c>
      <c r="K589" s="5">
        <v>53.1</v>
      </c>
    </row>
    <row r="590" spans="1:11" x14ac:dyDescent="0.2">
      <c r="A590" t="s">
        <v>893</v>
      </c>
      <c r="B590" s="4">
        <v>46199</v>
      </c>
      <c r="C590" t="s">
        <v>638</v>
      </c>
      <c r="D590" t="s">
        <v>34</v>
      </c>
      <c r="E590" t="s">
        <v>42</v>
      </c>
      <c r="F590" t="s">
        <v>71</v>
      </c>
      <c r="G590" t="s">
        <v>92</v>
      </c>
      <c r="H590">
        <v>1</v>
      </c>
      <c r="I590" s="5">
        <v>65</v>
      </c>
      <c r="J590" t="s">
        <v>38</v>
      </c>
      <c r="K590" s="5">
        <v>65</v>
      </c>
    </row>
    <row r="591" spans="1:11" x14ac:dyDescent="0.2">
      <c r="A591" t="s">
        <v>894</v>
      </c>
      <c r="B591" s="4">
        <v>46199</v>
      </c>
      <c r="C591" t="s">
        <v>171</v>
      </c>
      <c r="D591" t="s">
        <v>47</v>
      </c>
      <c r="E591" t="s">
        <v>35</v>
      </c>
      <c r="F591" t="s">
        <v>36</v>
      </c>
      <c r="G591" t="s">
        <v>122</v>
      </c>
      <c r="H591">
        <v>1</v>
      </c>
      <c r="I591" s="5">
        <v>26.25</v>
      </c>
      <c r="J591" t="s">
        <v>61</v>
      </c>
      <c r="K591" s="5">
        <v>26.25</v>
      </c>
    </row>
    <row r="592" spans="1:11" x14ac:dyDescent="0.2">
      <c r="A592" t="s">
        <v>895</v>
      </c>
      <c r="B592" s="4">
        <v>46199</v>
      </c>
      <c r="C592" t="s">
        <v>503</v>
      </c>
      <c r="D592" t="s">
        <v>58</v>
      </c>
      <c r="E592" t="s">
        <v>35</v>
      </c>
      <c r="F592" t="s">
        <v>59</v>
      </c>
      <c r="G592" t="s">
        <v>64</v>
      </c>
      <c r="H592">
        <v>1</v>
      </c>
      <c r="I592" s="5">
        <v>18</v>
      </c>
      <c r="J592" t="s">
        <v>38</v>
      </c>
      <c r="K592" s="5">
        <v>18</v>
      </c>
    </row>
    <row r="593" spans="1:11" x14ac:dyDescent="0.2">
      <c r="A593" t="s">
        <v>896</v>
      </c>
      <c r="B593" s="4">
        <v>46200</v>
      </c>
      <c r="C593" t="s">
        <v>343</v>
      </c>
      <c r="D593" t="s">
        <v>47</v>
      </c>
      <c r="E593" t="s">
        <v>42</v>
      </c>
      <c r="F593" t="s">
        <v>36</v>
      </c>
      <c r="G593" t="s">
        <v>122</v>
      </c>
      <c r="H593">
        <v>4</v>
      </c>
      <c r="I593" s="5">
        <v>25</v>
      </c>
      <c r="J593" t="s">
        <v>38</v>
      </c>
      <c r="K593" s="5">
        <v>100</v>
      </c>
    </row>
    <row r="594" spans="1:11" x14ac:dyDescent="0.2">
      <c r="A594" t="s">
        <v>897</v>
      </c>
      <c r="B594" s="4">
        <v>46201</v>
      </c>
      <c r="C594" t="s">
        <v>223</v>
      </c>
      <c r="D594" t="s">
        <v>34</v>
      </c>
      <c r="E594" t="s">
        <v>91</v>
      </c>
      <c r="F594" t="s">
        <v>36</v>
      </c>
      <c r="G594" t="s">
        <v>152</v>
      </c>
      <c r="H594">
        <v>1</v>
      </c>
      <c r="I594" s="5">
        <v>61.95</v>
      </c>
      <c r="J594" t="s">
        <v>61</v>
      </c>
      <c r="K594" s="5">
        <v>61.95</v>
      </c>
    </row>
    <row r="595" spans="1:11" x14ac:dyDescent="0.2">
      <c r="A595" t="s">
        <v>898</v>
      </c>
      <c r="B595" s="4">
        <v>46201</v>
      </c>
      <c r="C595" t="s">
        <v>586</v>
      </c>
      <c r="D595" t="s">
        <v>41</v>
      </c>
      <c r="E595" t="s">
        <v>35</v>
      </c>
      <c r="F595" t="s">
        <v>36</v>
      </c>
      <c r="G595" t="s">
        <v>152</v>
      </c>
      <c r="H595">
        <v>1</v>
      </c>
      <c r="I595" s="5">
        <v>59</v>
      </c>
      <c r="J595" t="s">
        <v>38</v>
      </c>
      <c r="K595" s="5">
        <v>59</v>
      </c>
    </row>
    <row r="596" spans="1:11" x14ac:dyDescent="0.2">
      <c r="A596" t="s">
        <v>899</v>
      </c>
      <c r="B596" s="4">
        <v>46201</v>
      </c>
      <c r="C596" t="s">
        <v>110</v>
      </c>
      <c r="D596" t="s">
        <v>34</v>
      </c>
      <c r="E596" t="s">
        <v>42</v>
      </c>
      <c r="F596" t="s">
        <v>59</v>
      </c>
      <c r="G596" t="s">
        <v>64</v>
      </c>
      <c r="H596">
        <v>1</v>
      </c>
      <c r="I596" s="5">
        <v>18</v>
      </c>
      <c r="J596" t="s">
        <v>65</v>
      </c>
      <c r="K596" s="5">
        <v>18</v>
      </c>
    </row>
    <row r="597" spans="1:11" x14ac:dyDescent="0.2">
      <c r="A597" t="s">
        <v>900</v>
      </c>
      <c r="B597" s="4">
        <v>46201</v>
      </c>
      <c r="C597" t="s">
        <v>568</v>
      </c>
      <c r="D597" t="s">
        <v>114</v>
      </c>
      <c r="E597" t="s">
        <v>91</v>
      </c>
      <c r="F597" t="s">
        <v>36</v>
      </c>
      <c r="G597" t="s">
        <v>152</v>
      </c>
      <c r="H597">
        <v>1</v>
      </c>
      <c r="I597" s="5">
        <v>61.95</v>
      </c>
      <c r="J597" t="s">
        <v>61</v>
      </c>
      <c r="K597" s="5">
        <v>61.95</v>
      </c>
    </row>
    <row r="598" spans="1:11" x14ac:dyDescent="0.2">
      <c r="A598" t="s">
        <v>901</v>
      </c>
      <c r="B598" s="4">
        <v>46201</v>
      </c>
      <c r="C598" t="s">
        <v>146</v>
      </c>
      <c r="D598" t="s">
        <v>58</v>
      </c>
      <c r="E598" t="s">
        <v>91</v>
      </c>
      <c r="F598" t="s">
        <v>43</v>
      </c>
      <c r="G598" t="s">
        <v>44</v>
      </c>
      <c r="H598">
        <v>1</v>
      </c>
      <c r="I598" s="5">
        <v>99</v>
      </c>
      <c r="J598" t="s">
        <v>38</v>
      </c>
      <c r="K598" s="5">
        <v>99</v>
      </c>
    </row>
    <row r="599" spans="1:11" x14ac:dyDescent="0.2">
      <c r="A599" t="s">
        <v>902</v>
      </c>
      <c r="B599" s="4">
        <v>46202</v>
      </c>
      <c r="C599" t="s">
        <v>254</v>
      </c>
      <c r="D599" t="s">
        <v>58</v>
      </c>
      <c r="E599" t="s">
        <v>35</v>
      </c>
      <c r="F599" t="s">
        <v>71</v>
      </c>
      <c r="G599" t="s">
        <v>88</v>
      </c>
      <c r="H599">
        <v>1</v>
      </c>
      <c r="I599" s="5">
        <v>75</v>
      </c>
      <c r="J599" t="s">
        <v>61</v>
      </c>
      <c r="K599" s="5">
        <v>75</v>
      </c>
    </row>
    <row r="600" spans="1:11" x14ac:dyDescent="0.2">
      <c r="A600" t="s">
        <v>903</v>
      </c>
      <c r="B600" s="4">
        <v>46202</v>
      </c>
      <c r="C600" t="s">
        <v>74</v>
      </c>
      <c r="D600" t="s">
        <v>58</v>
      </c>
      <c r="E600" t="s">
        <v>91</v>
      </c>
      <c r="F600" t="s">
        <v>51</v>
      </c>
      <c r="G600" t="s">
        <v>119</v>
      </c>
      <c r="H600">
        <v>1</v>
      </c>
      <c r="I600" s="5">
        <v>27</v>
      </c>
      <c r="J600" t="s">
        <v>38</v>
      </c>
      <c r="K600" s="5">
        <v>27</v>
      </c>
    </row>
    <row r="601" spans="1:11" x14ac:dyDescent="0.2">
      <c r="A601" t="s">
        <v>904</v>
      </c>
      <c r="B601" s="4">
        <v>46203</v>
      </c>
      <c r="C601" t="s">
        <v>343</v>
      </c>
      <c r="D601" t="s">
        <v>47</v>
      </c>
      <c r="E601" t="s">
        <v>42</v>
      </c>
      <c r="F601" t="s">
        <v>51</v>
      </c>
      <c r="G601" t="s">
        <v>99</v>
      </c>
      <c r="H601">
        <v>1</v>
      </c>
      <c r="I601" s="5">
        <v>16.2</v>
      </c>
      <c r="J601" t="s">
        <v>38</v>
      </c>
      <c r="K601" s="5">
        <v>16.2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1"/>
  <sheetViews>
    <sheetView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1" width="18" customWidth="1"/>
  </cols>
  <sheetData>
    <row r="1" spans="1:11" x14ac:dyDescent="0.2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</row>
    <row r="2" spans="1:11" x14ac:dyDescent="0.2">
      <c r="A2" t="s">
        <v>32</v>
      </c>
      <c r="B2" s="4">
        <v>46023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>
        <v>1</v>
      </c>
      <c r="I2" s="5">
        <v>35</v>
      </c>
      <c r="J2" t="s">
        <v>38</v>
      </c>
      <c r="K2" s="5">
        <v>35</v>
      </c>
    </row>
    <row r="3" spans="1:11" x14ac:dyDescent="0.2">
      <c r="A3" t="s">
        <v>39</v>
      </c>
      <c r="B3" s="4">
        <v>46023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>
        <v>1</v>
      </c>
      <c r="I3" s="5">
        <v>89.1</v>
      </c>
      <c r="J3" t="s">
        <v>38</v>
      </c>
      <c r="K3" s="5">
        <v>89.1</v>
      </c>
    </row>
    <row r="4" spans="1:11" x14ac:dyDescent="0.2">
      <c r="A4" t="s">
        <v>45</v>
      </c>
      <c r="B4" s="4">
        <v>46023</v>
      </c>
      <c r="C4" t="s">
        <v>46</v>
      </c>
      <c r="D4" t="s">
        <v>47</v>
      </c>
      <c r="E4" t="s">
        <v>42</v>
      </c>
      <c r="F4" t="s">
        <v>43</v>
      </c>
      <c r="G4" t="s">
        <v>48</v>
      </c>
      <c r="H4">
        <v>1</v>
      </c>
      <c r="I4" s="5">
        <v>187.95</v>
      </c>
      <c r="J4" t="s">
        <v>38</v>
      </c>
      <c r="K4" s="5">
        <v>187.95</v>
      </c>
    </row>
    <row r="5" spans="1:11" x14ac:dyDescent="0.2">
      <c r="A5" t="s">
        <v>49</v>
      </c>
      <c r="B5" s="4">
        <v>46023</v>
      </c>
      <c r="C5" t="s">
        <v>50</v>
      </c>
      <c r="D5" t="s">
        <v>47</v>
      </c>
      <c r="E5" t="s">
        <v>35</v>
      </c>
      <c r="F5" t="s">
        <v>51</v>
      </c>
      <c r="G5" t="s">
        <v>52</v>
      </c>
      <c r="H5">
        <v>1</v>
      </c>
      <c r="I5" s="5">
        <v>40.5</v>
      </c>
      <c r="J5" t="s">
        <v>38</v>
      </c>
      <c r="K5" s="5">
        <v>40.5</v>
      </c>
    </row>
    <row r="6" spans="1:11" x14ac:dyDescent="0.2">
      <c r="A6" t="s">
        <v>53</v>
      </c>
      <c r="B6" s="4">
        <v>46023</v>
      </c>
      <c r="C6" t="s">
        <v>54</v>
      </c>
      <c r="D6" t="s">
        <v>47</v>
      </c>
      <c r="E6" t="s">
        <v>42</v>
      </c>
      <c r="F6" t="s">
        <v>51</v>
      </c>
      <c r="G6" t="s">
        <v>55</v>
      </c>
      <c r="H6">
        <v>1</v>
      </c>
      <c r="I6" s="5">
        <v>19.8</v>
      </c>
      <c r="J6" t="s">
        <v>38</v>
      </c>
      <c r="K6" s="5">
        <v>19.8</v>
      </c>
    </row>
    <row r="7" spans="1:11" x14ac:dyDescent="0.2">
      <c r="A7" t="s">
        <v>56</v>
      </c>
      <c r="B7" s="4">
        <v>46024</v>
      </c>
      <c r="C7" t="s">
        <v>57</v>
      </c>
      <c r="D7" t="s">
        <v>58</v>
      </c>
      <c r="E7" t="s">
        <v>35</v>
      </c>
      <c r="F7" t="s">
        <v>59</v>
      </c>
      <c r="G7" t="s">
        <v>60</v>
      </c>
      <c r="H7">
        <v>1</v>
      </c>
      <c r="I7" s="5">
        <v>120</v>
      </c>
      <c r="J7" t="s">
        <v>61</v>
      </c>
      <c r="K7" s="5">
        <v>120</v>
      </c>
    </row>
    <row r="8" spans="1:11" x14ac:dyDescent="0.2">
      <c r="A8" t="s">
        <v>62</v>
      </c>
      <c r="B8" s="4">
        <v>46025</v>
      </c>
      <c r="C8" t="s">
        <v>63</v>
      </c>
      <c r="D8" t="s">
        <v>47</v>
      </c>
      <c r="E8" t="s">
        <v>35</v>
      </c>
      <c r="F8" t="s">
        <v>59</v>
      </c>
      <c r="G8" t="s">
        <v>64</v>
      </c>
      <c r="H8">
        <v>5</v>
      </c>
      <c r="I8" s="5">
        <v>16.2</v>
      </c>
      <c r="J8" t="s">
        <v>65</v>
      </c>
      <c r="K8" s="5">
        <v>81</v>
      </c>
    </row>
    <row r="9" spans="1:11" x14ac:dyDescent="0.2">
      <c r="A9" t="s">
        <v>66</v>
      </c>
      <c r="B9" s="4">
        <v>46025</v>
      </c>
      <c r="C9" t="s">
        <v>67</v>
      </c>
      <c r="D9" t="s">
        <v>58</v>
      </c>
      <c r="E9" t="s">
        <v>35</v>
      </c>
      <c r="F9" t="s">
        <v>36</v>
      </c>
      <c r="G9" t="s">
        <v>68</v>
      </c>
      <c r="H9">
        <v>2</v>
      </c>
      <c r="I9" s="5">
        <v>82.95</v>
      </c>
      <c r="J9" t="s">
        <v>38</v>
      </c>
      <c r="K9" s="5">
        <v>165.9</v>
      </c>
    </row>
    <row r="10" spans="1:11" x14ac:dyDescent="0.2">
      <c r="A10" t="s">
        <v>69</v>
      </c>
      <c r="B10" s="4">
        <v>46026</v>
      </c>
      <c r="C10" t="s">
        <v>70</v>
      </c>
      <c r="D10" t="s">
        <v>41</v>
      </c>
      <c r="E10" t="s">
        <v>35</v>
      </c>
      <c r="F10" t="s">
        <v>71</v>
      </c>
      <c r="G10" t="s">
        <v>72</v>
      </c>
      <c r="H10">
        <v>1</v>
      </c>
      <c r="I10" s="5">
        <v>55</v>
      </c>
      <c r="J10" t="s">
        <v>38</v>
      </c>
      <c r="K10" s="5">
        <v>55</v>
      </c>
    </row>
    <row r="11" spans="1:11" x14ac:dyDescent="0.2">
      <c r="A11" t="s">
        <v>73</v>
      </c>
      <c r="B11" s="4">
        <v>46027</v>
      </c>
      <c r="C11" t="s">
        <v>74</v>
      </c>
      <c r="D11" t="s">
        <v>58</v>
      </c>
      <c r="E11" t="s">
        <v>35</v>
      </c>
      <c r="F11" t="s">
        <v>36</v>
      </c>
      <c r="G11" t="s">
        <v>68</v>
      </c>
      <c r="H11">
        <v>2</v>
      </c>
      <c r="I11" s="5">
        <v>79</v>
      </c>
      <c r="J11" t="s">
        <v>38</v>
      </c>
      <c r="K11" s="5">
        <v>158</v>
      </c>
    </row>
    <row r="12" spans="1:11" x14ac:dyDescent="0.2">
      <c r="A12" t="s">
        <v>75</v>
      </c>
      <c r="B12" s="4">
        <v>46027</v>
      </c>
      <c r="C12" t="s">
        <v>76</v>
      </c>
      <c r="D12" t="s">
        <v>58</v>
      </c>
      <c r="E12" t="s">
        <v>35</v>
      </c>
      <c r="F12" t="s">
        <v>43</v>
      </c>
      <c r="G12" t="s">
        <v>77</v>
      </c>
      <c r="H12">
        <v>1</v>
      </c>
      <c r="I12" s="5">
        <v>47.25</v>
      </c>
      <c r="J12" t="s">
        <v>38</v>
      </c>
      <c r="K12" s="5">
        <v>47.25</v>
      </c>
    </row>
    <row r="13" spans="1:11" x14ac:dyDescent="0.2">
      <c r="A13" t="s">
        <v>78</v>
      </c>
      <c r="B13" s="4">
        <v>46027</v>
      </c>
      <c r="C13" t="s">
        <v>79</v>
      </c>
      <c r="D13" t="s">
        <v>41</v>
      </c>
      <c r="E13" t="s">
        <v>42</v>
      </c>
      <c r="F13" t="s">
        <v>59</v>
      </c>
      <c r="G13" t="s">
        <v>80</v>
      </c>
      <c r="H13">
        <v>2</v>
      </c>
      <c r="I13" s="5">
        <v>35</v>
      </c>
      <c r="J13" t="s">
        <v>38</v>
      </c>
      <c r="K13" s="5">
        <v>70</v>
      </c>
    </row>
    <row r="14" spans="1:11" x14ac:dyDescent="0.2">
      <c r="A14" t="s">
        <v>81</v>
      </c>
      <c r="B14" s="4">
        <v>46028</v>
      </c>
      <c r="C14" t="s">
        <v>82</v>
      </c>
      <c r="D14" t="s">
        <v>58</v>
      </c>
      <c r="E14" t="s">
        <v>42</v>
      </c>
      <c r="F14" t="s">
        <v>43</v>
      </c>
      <c r="G14" t="s">
        <v>83</v>
      </c>
      <c r="H14">
        <v>4</v>
      </c>
      <c r="I14" s="5">
        <v>40.950000000000003</v>
      </c>
      <c r="J14" t="s">
        <v>65</v>
      </c>
      <c r="K14" s="5">
        <v>163.80000000000001</v>
      </c>
    </row>
    <row r="15" spans="1:11" x14ac:dyDescent="0.2">
      <c r="A15" t="s">
        <v>84</v>
      </c>
      <c r="B15" s="4">
        <v>46028</v>
      </c>
      <c r="C15" t="s">
        <v>70</v>
      </c>
      <c r="D15" t="s">
        <v>47</v>
      </c>
      <c r="E15" t="s">
        <v>35</v>
      </c>
      <c r="F15" t="s">
        <v>36</v>
      </c>
      <c r="G15" t="s">
        <v>85</v>
      </c>
      <c r="H15">
        <v>1</v>
      </c>
      <c r="I15" s="5">
        <v>89</v>
      </c>
      <c r="J15" t="s">
        <v>65</v>
      </c>
      <c r="K15" s="5">
        <v>89</v>
      </c>
    </row>
    <row r="16" spans="1:11" x14ac:dyDescent="0.2">
      <c r="A16" t="s">
        <v>86</v>
      </c>
      <c r="B16" s="4">
        <v>46028</v>
      </c>
      <c r="C16" t="s">
        <v>87</v>
      </c>
      <c r="D16" t="s">
        <v>34</v>
      </c>
      <c r="E16" t="s">
        <v>35</v>
      </c>
      <c r="F16" t="s">
        <v>71</v>
      </c>
      <c r="G16" t="s">
        <v>88</v>
      </c>
      <c r="H16">
        <v>2</v>
      </c>
      <c r="I16" s="5">
        <v>78.75</v>
      </c>
      <c r="J16" t="s">
        <v>38</v>
      </c>
      <c r="K16" s="5">
        <v>157.5</v>
      </c>
    </row>
    <row r="17" spans="1:11" x14ac:dyDescent="0.2">
      <c r="A17" t="s">
        <v>89</v>
      </c>
      <c r="B17" s="4">
        <v>46029</v>
      </c>
      <c r="C17" t="s">
        <v>90</v>
      </c>
      <c r="D17" t="s">
        <v>47</v>
      </c>
      <c r="E17" t="s">
        <v>91</v>
      </c>
      <c r="F17" t="s">
        <v>71</v>
      </c>
      <c r="G17" t="s">
        <v>92</v>
      </c>
      <c r="H17">
        <v>5</v>
      </c>
      <c r="I17" s="5">
        <v>65</v>
      </c>
      <c r="J17" t="s">
        <v>65</v>
      </c>
      <c r="K17" s="5">
        <v>325</v>
      </c>
    </row>
    <row r="18" spans="1:11" x14ac:dyDescent="0.2">
      <c r="A18" t="s">
        <v>93</v>
      </c>
      <c r="B18" s="4">
        <v>46029</v>
      </c>
      <c r="C18" t="s">
        <v>94</v>
      </c>
      <c r="D18" t="s">
        <v>47</v>
      </c>
      <c r="E18" t="s">
        <v>42</v>
      </c>
      <c r="F18" t="s">
        <v>71</v>
      </c>
      <c r="G18" t="s">
        <v>95</v>
      </c>
      <c r="H18">
        <v>1</v>
      </c>
      <c r="I18" s="5">
        <v>20</v>
      </c>
      <c r="J18" t="s">
        <v>38</v>
      </c>
      <c r="K18" s="5">
        <v>20</v>
      </c>
    </row>
    <row r="19" spans="1:11" x14ac:dyDescent="0.2">
      <c r="A19" t="s">
        <v>96</v>
      </c>
      <c r="B19" s="4">
        <v>46030</v>
      </c>
      <c r="C19" t="s">
        <v>97</v>
      </c>
      <c r="D19" t="s">
        <v>47</v>
      </c>
      <c r="E19" t="s">
        <v>35</v>
      </c>
      <c r="F19" t="s">
        <v>51</v>
      </c>
      <c r="G19" t="s">
        <v>99</v>
      </c>
      <c r="H19">
        <v>5</v>
      </c>
      <c r="I19" s="5">
        <v>18</v>
      </c>
      <c r="J19" t="s">
        <v>61</v>
      </c>
      <c r="K19" s="5">
        <v>90</v>
      </c>
    </row>
    <row r="20" spans="1:11" x14ac:dyDescent="0.2">
      <c r="A20" t="s">
        <v>100</v>
      </c>
      <c r="B20" s="4">
        <v>46030</v>
      </c>
      <c r="C20" t="s">
        <v>101</v>
      </c>
      <c r="D20" t="s">
        <v>41</v>
      </c>
      <c r="E20" t="s">
        <v>35</v>
      </c>
      <c r="F20" t="s">
        <v>59</v>
      </c>
      <c r="G20" t="s">
        <v>64</v>
      </c>
      <c r="H20">
        <v>1</v>
      </c>
      <c r="I20" s="5">
        <v>18</v>
      </c>
      <c r="J20" t="s">
        <v>38</v>
      </c>
      <c r="K20" s="5">
        <v>18</v>
      </c>
    </row>
    <row r="21" spans="1:11" x14ac:dyDescent="0.2">
      <c r="A21" t="s">
        <v>102</v>
      </c>
      <c r="B21" s="4">
        <v>46030</v>
      </c>
      <c r="C21" t="s">
        <v>103</v>
      </c>
      <c r="D21" t="s">
        <v>41</v>
      </c>
      <c r="E21" t="s">
        <v>35</v>
      </c>
      <c r="F21" t="s">
        <v>71</v>
      </c>
      <c r="G21" t="s">
        <v>92</v>
      </c>
      <c r="H21">
        <v>4</v>
      </c>
      <c r="I21" s="5">
        <v>68.25</v>
      </c>
      <c r="J21" t="s">
        <v>38</v>
      </c>
      <c r="K21" s="5">
        <v>273</v>
      </c>
    </row>
    <row r="22" spans="1:11" x14ac:dyDescent="0.2">
      <c r="A22" t="s">
        <v>104</v>
      </c>
      <c r="B22" s="4">
        <v>46030</v>
      </c>
      <c r="C22" t="s">
        <v>105</v>
      </c>
      <c r="D22" t="s">
        <v>58</v>
      </c>
      <c r="E22" t="s">
        <v>35</v>
      </c>
      <c r="F22" t="s">
        <v>59</v>
      </c>
      <c r="G22" t="s">
        <v>106</v>
      </c>
      <c r="H22">
        <v>2</v>
      </c>
      <c r="I22" s="5">
        <v>28</v>
      </c>
      <c r="J22" t="s">
        <v>61</v>
      </c>
      <c r="K22" s="5">
        <v>56</v>
      </c>
    </row>
    <row r="23" spans="1:11" x14ac:dyDescent="0.2">
      <c r="A23" t="s">
        <v>107</v>
      </c>
      <c r="B23" s="4">
        <v>46030</v>
      </c>
      <c r="C23" t="s">
        <v>108</v>
      </c>
      <c r="D23" t="s">
        <v>47</v>
      </c>
      <c r="E23" t="s">
        <v>91</v>
      </c>
      <c r="F23" t="s">
        <v>59</v>
      </c>
      <c r="G23" t="s">
        <v>60</v>
      </c>
      <c r="H23">
        <v>1</v>
      </c>
      <c r="I23" s="5">
        <v>120</v>
      </c>
      <c r="J23" t="s">
        <v>61</v>
      </c>
      <c r="K23" s="5">
        <v>120</v>
      </c>
    </row>
    <row r="24" spans="1:11" x14ac:dyDescent="0.2">
      <c r="A24" t="s">
        <v>109</v>
      </c>
      <c r="B24" s="4">
        <v>46030</v>
      </c>
      <c r="C24" t="s">
        <v>110</v>
      </c>
      <c r="D24" t="s">
        <v>34</v>
      </c>
      <c r="E24" t="s">
        <v>35</v>
      </c>
      <c r="F24" t="s">
        <v>59</v>
      </c>
      <c r="G24" t="s">
        <v>111</v>
      </c>
      <c r="H24">
        <v>1</v>
      </c>
      <c r="I24" s="5">
        <v>78.75</v>
      </c>
      <c r="J24" t="s">
        <v>38</v>
      </c>
      <c r="K24" s="5">
        <v>78.75</v>
      </c>
    </row>
    <row r="25" spans="1:11" x14ac:dyDescent="0.2">
      <c r="A25" t="s">
        <v>112</v>
      </c>
      <c r="B25" s="4">
        <v>46031</v>
      </c>
      <c r="C25" t="s">
        <v>113</v>
      </c>
      <c r="D25" t="s">
        <v>114</v>
      </c>
      <c r="E25" t="s">
        <v>91</v>
      </c>
      <c r="F25" t="s">
        <v>51</v>
      </c>
      <c r="G25" t="s">
        <v>52</v>
      </c>
      <c r="H25">
        <v>1</v>
      </c>
      <c r="I25" s="5">
        <v>45</v>
      </c>
      <c r="J25" t="s">
        <v>61</v>
      </c>
      <c r="K25" s="5">
        <v>45</v>
      </c>
    </row>
    <row r="26" spans="1:11" x14ac:dyDescent="0.2">
      <c r="A26" t="s">
        <v>115</v>
      </c>
      <c r="B26" s="4">
        <v>46032</v>
      </c>
      <c r="C26" t="s">
        <v>116</v>
      </c>
      <c r="D26" t="s">
        <v>58</v>
      </c>
      <c r="E26" t="s">
        <v>35</v>
      </c>
      <c r="F26" t="s">
        <v>36</v>
      </c>
      <c r="G26" t="s">
        <v>85</v>
      </c>
      <c r="H26">
        <v>2</v>
      </c>
      <c r="I26" s="5">
        <v>80.099999999999994</v>
      </c>
      <c r="J26" t="s">
        <v>61</v>
      </c>
      <c r="K26" s="5">
        <v>160.19999999999999</v>
      </c>
    </row>
    <row r="27" spans="1:11" x14ac:dyDescent="0.2">
      <c r="A27" t="s">
        <v>117</v>
      </c>
      <c r="B27" s="4">
        <v>46032</v>
      </c>
      <c r="C27" t="s">
        <v>118</v>
      </c>
      <c r="D27" t="s">
        <v>41</v>
      </c>
      <c r="E27" t="s">
        <v>35</v>
      </c>
      <c r="F27" t="s">
        <v>51</v>
      </c>
      <c r="G27" t="s">
        <v>119</v>
      </c>
      <c r="H27">
        <v>2</v>
      </c>
      <c r="I27" s="5">
        <v>27</v>
      </c>
      <c r="J27" t="s">
        <v>65</v>
      </c>
      <c r="K27" s="5">
        <v>54</v>
      </c>
    </row>
    <row r="28" spans="1:11" x14ac:dyDescent="0.2">
      <c r="A28" t="s">
        <v>120</v>
      </c>
      <c r="B28" s="4">
        <v>46032</v>
      </c>
      <c r="C28" t="s">
        <v>121</v>
      </c>
      <c r="D28" t="s">
        <v>47</v>
      </c>
      <c r="E28" t="s">
        <v>35</v>
      </c>
      <c r="F28" t="s">
        <v>36</v>
      </c>
      <c r="G28" t="s">
        <v>122</v>
      </c>
      <c r="H28">
        <v>3</v>
      </c>
      <c r="I28" s="5">
        <v>22.5</v>
      </c>
      <c r="J28" t="s">
        <v>38</v>
      </c>
      <c r="K28" s="5">
        <v>67.5</v>
      </c>
    </row>
    <row r="29" spans="1:11" x14ac:dyDescent="0.2">
      <c r="A29" t="s">
        <v>123</v>
      </c>
      <c r="B29" s="4">
        <v>46032</v>
      </c>
      <c r="C29" t="s">
        <v>94</v>
      </c>
      <c r="D29" t="s">
        <v>34</v>
      </c>
      <c r="E29" t="s">
        <v>42</v>
      </c>
      <c r="F29" t="s">
        <v>51</v>
      </c>
      <c r="G29" t="s">
        <v>55</v>
      </c>
      <c r="H29">
        <v>1</v>
      </c>
      <c r="I29" s="5">
        <v>19.8</v>
      </c>
      <c r="J29" t="s">
        <v>38</v>
      </c>
      <c r="K29" s="5">
        <v>19.8</v>
      </c>
    </row>
    <row r="30" spans="1:11" x14ac:dyDescent="0.2">
      <c r="A30" t="s">
        <v>124</v>
      </c>
      <c r="B30" s="4">
        <v>46032</v>
      </c>
      <c r="C30" t="s">
        <v>125</v>
      </c>
      <c r="D30" t="s">
        <v>34</v>
      </c>
      <c r="E30" t="s">
        <v>35</v>
      </c>
      <c r="F30" t="s">
        <v>71</v>
      </c>
      <c r="G30" t="s">
        <v>72</v>
      </c>
      <c r="H30">
        <v>1</v>
      </c>
      <c r="I30" s="5">
        <v>55</v>
      </c>
      <c r="J30" t="s">
        <v>65</v>
      </c>
      <c r="K30" s="5">
        <v>55</v>
      </c>
    </row>
    <row r="31" spans="1:11" x14ac:dyDescent="0.2">
      <c r="A31" t="s">
        <v>126</v>
      </c>
      <c r="B31" s="4">
        <v>46032</v>
      </c>
      <c r="C31" t="s">
        <v>127</v>
      </c>
      <c r="D31" t="s">
        <v>58</v>
      </c>
      <c r="E31" t="s">
        <v>35</v>
      </c>
      <c r="F31" t="s">
        <v>36</v>
      </c>
      <c r="G31" t="s">
        <v>122</v>
      </c>
      <c r="H31">
        <v>1</v>
      </c>
      <c r="I31" s="5">
        <v>26.25</v>
      </c>
      <c r="J31" t="s">
        <v>61</v>
      </c>
      <c r="K31" s="5">
        <v>26.25</v>
      </c>
    </row>
    <row r="32" spans="1:11" x14ac:dyDescent="0.2">
      <c r="A32" t="s">
        <v>128</v>
      </c>
      <c r="B32" s="4">
        <v>46032</v>
      </c>
      <c r="C32" t="s">
        <v>129</v>
      </c>
      <c r="D32" t="s">
        <v>47</v>
      </c>
      <c r="E32" t="s">
        <v>35</v>
      </c>
      <c r="F32" t="s">
        <v>59</v>
      </c>
      <c r="G32" t="s">
        <v>106</v>
      </c>
      <c r="H32">
        <v>1</v>
      </c>
      <c r="I32" s="5">
        <v>28</v>
      </c>
      <c r="J32" t="s">
        <v>38</v>
      </c>
      <c r="K32" s="5">
        <v>28</v>
      </c>
    </row>
    <row r="33" spans="1:11" x14ac:dyDescent="0.2">
      <c r="A33" t="s">
        <v>130</v>
      </c>
      <c r="B33" s="4">
        <v>46033</v>
      </c>
      <c r="C33" t="s">
        <v>131</v>
      </c>
      <c r="D33" t="s">
        <v>47</v>
      </c>
      <c r="E33" t="s">
        <v>91</v>
      </c>
      <c r="F33" t="s">
        <v>59</v>
      </c>
      <c r="G33" t="s">
        <v>80</v>
      </c>
      <c r="H33">
        <v>1</v>
      </c>
      <c r="I33" s="5">
        <v>35</v>
      </c>
      <c r="J33" t="s">
        <v>61</v>
      </c>
      <c r="K33" s="5">
        <v>35</v>
      </c>
    </row>
    <row r="34" spans="1:11" x14ac:dyDescent="0.2">
      <c r="A34" t="s">
        <v>132</v>
      </c>
      <c r="B34" s="4">
        <v>46033</v>
      </c>
      <c r="C34" t="s">
        <v>79</v>
      </c>
      <c r="D34" t="s">
        <v>47</v>
      </c>
      <c r="E34" t="s">
        <v>35</v>
      </c>
      <c r="F34" t="s">
        <v>71</v>
      </c>
      <c r="G34" t="s">
        <v>72</v>
      </c>
      <c r="H34">
        <v>4</v>
      </c>
      <c r="I34" s="5">
        <v>55</v>
      </c>
      <c r="J34" t="s">
        <v>38</v>
      </c>
      <c r="K34" s="5">
        <v>220</v>
      </c>
    </row>
    <row r="35" spans="1:11" x14ac:dyDescent="0.2">
      <c r="A35" t="s">
        <v>133</v>
      </c>
      <c r="B35" s="4">
        <v>46033</v>
      </c>
      <c r="C35" t="s">
        <v>134</v>
      </c>
      <c r="D35" t="s">
        <v>58</v>
      </c>
      <c r="E35" t="s">
        <v>35</v>
      </c>
      <c r="F35" t="s">
        <v>36</v>
      </c>
      <c r="G35" t="s">
        <v>37</v>
      </c>
      <c r="H35">
        <v>1</v>
      </c>
      <c r="I35" s="5">
        <v>35</v>
      </c>
      <c r="J35" t="s">
        <v>65</v>
      </c>
      <c r="K35" s="5">
        <v>35</v>
      </c>
    </row>
    <row r="36" spans="1:11" x14ac:dyDescent="0.2">
      <c r="A36" t="s">
        <v>135</v>
      </c>
      <c r="B36" s="4">
        <v>46034</v>
      </c>
      <c r="C36" t="s">
        <v>136</v>
      </c>
      <c r="D36" t="s">
        <v>41</v>
      </c>
      <c r="E36" t="s">
        <v>91</v>
      </c>
      <c r="F36" t="s">
        <v>71</v>
      </c>
      <c r="G36" t="s">
        <v>137</v>
      </c>
      <c r="H36">
        <v>3</v>
      </c>
      <c r="I36" s="5">
        <v>110</v>
      </c>
      <c r="J36" t="s">
        <v>38</v>
      </c>
      <c r="K36" s="5">
        <v>330</v>
      </c>
    </row>
    <row r="37" spans="1:11" x14ac:dyDescent="0.2">
      <c r="A37" t="s">
        <v>138</v>
      </c>
      <c r="B37" s="4">
        <v>46035</v>
      </c>
      <c r="C37" t="s">
        <v>139</v>
      </c>
      <c r="D37" t="s">
        <v>47</v>
      </c>
      <c r="E37" t="s">
        <v>35</v>
      </c>
      <c r="F37" t="s">
        <v>71</v>
      </c>
      <c r="G37" t="s">
        <v>137</v>
      </c>
      <c r="H37">
        <v>3</v>
      </c>
      <c r="I37" s="5">
        <v>110</v>
      </c>
      <c r="J37" t="s">
        <v>38</v>
      </c>
      <c r="K37" s="5">
        <v>330</v>
      </c>
    </row>
    <row r="38" spans="1:11" x14ac:dyDescent="0.2">
      <c r="A38" t="s">
        <v>140</v>
      </c>
      <c r="B38" s="4">
        <v>46035</v>
      </c>
      <c r="C38" t="s">
        <v>141</v>
      </c>
      <c r="D38" t="s">
        <v>58</v>
      </c>
      <c r="E38" t="s">
        <v>91</v>
      </c>
      <c r="F38" t="s">
        <v>43</v>
      </c>
      <c r="G38" t="s">
        <v>142</v>
      </c>
      <c r="H38">
        <v>1</v>
      </c>
      <c r="I38" s="5">
        <v>32</v>
      </c>
      <c r="J38" t="s">
        <v>61</v>
      </c>
      <c r="K38" s="5">
        <v>32</v>
      </c>
    </row>
    <row r="39" spans="1:11" x14ac:dyDescent="0.2">
      <c r="A39" t="s">
        <v>143</v>
      </c>
      <c r="B39" s="4">
        <v>46035</v>
      </c>
      <c r="C39" t="s">
        <v>144</v>
      </c>
      <c r="D39" t="s">
        <v>114</v>
      </c>
      <c r="E39" t="s">
        <v>91</v>
      </c>
      <c r="F39" t="s">
        <v>43</v>
      </c>
      <c r="G39" t="s">
        <v>83</v>
      </c>
      <c r="H39">
        <v>2</v>
      </c>
      <c r="I39" s="5">
        <v>39</v>
      </c>
      <c r="J39" t="s">
        <v>38</v>
      </c>
      <c r="K39" s="5">
        <v>78</v>
      </c>
    </row>
    <row r="40" spans="1:11" x14ac:dyDescent="0.2">
      <c r="A40" t="s">
        <v>145</v>
      </c>
      <c r="B40" s="4">
        <v>46036</v>
      </c>
      <c r="C40" t="s">
        <v>146</v>
      </c>
      <c r="D40" t="s">
        <v>47</v>
      </c>
      <c r="E40" t="s">
        <v>91</v>
      </c>
      <c r="F40" t="s">
        <v>36</v>
      </c>
      <c r="G40" t="s">
        <v>122</v>
      </c>
      <c r="H40">
        <v>2</v>
      </c>
      <c r="I40" s="5">
        <v>25</v>
      </c>
      <c r="J40" t="s">
        <v>38</v>
      </c>
      <c r="K40" s="5">
        <v>50</v>
      </c>
    </row>
    <row r="41" spans="1:11" x14ac:dyDescent="0.2">
      <c r="A41" t="s">
        <v>147</v>
      </c>
      <c r="B41" s="4">
        <v>46036</v>
      </c>
      <c r="C41" t="s">
        <v>148</v>
      </c>
      <c r="D41" t="s">
        <v>58</v>
      </c>
      <c r="E41" t="s">
        <v>42</v>
      </c>
      <c r="F41" t="s">
        <v>43</v>
      </c>
      <c r="G41" t="s">
        <v>142</v>
      </c>
      <c r="H41">
        <v>1</v>
      </c>
      <c r="I41" s="5">
        <v>28.8</v>
      </c>
      <c r="J41" t="s">
        <v>65</v>
      </c>
      <c r="K41" s="5">
        <v>28.8</v>
      </c>
    </row>
    <row r="42" spans="1:11" x14ac:dyDescent="0.2">
      <c r="A42" t="s">
        <v>149</v>
      </c>
      <c r="B42" s="4">
        <v>46036</v>
      </c>
      <c r="C42" t="s">
        <v>57</v>
      </c>
      <c r="D42" t="s">
        <v>47</v>
      </c>
      <c r="E42" t="s">
        <v>91</v>
      </c>
      <c r="F42" t="s">
        <v>36</v>
      </c>
      <c r="G42" t="s">
        <v>37</v>
      </c>
      <c r="H42">
        <v>1</v>
      </c>
      <c r="I42" s="5">
        <v>35</v>
      </c>
      <c r="J42" t="s">
        <v>38</v>
      </c>
      <c r="K42" s="5">
        <v>35</v>
      </c>
    </row>
    <row r="43" spans="1:11" x14ac:dyDescent="0.2">
      <c r="A43" t="s">
        <v>150</v>
      </c>
      <c r="B43" s="4">
        <v>46036</v>
      </c>
      <c r="C43" t="s">
        <v>151</v>
      </c>
      <c r="D43" t="s">
        <v>58</v>
      </c>
      <c r="E43" t="s">
        <v>35</v>
      </c>
      <c r="F43" t="s">
        <v>36</v>
      </c>
      <c r="G43" t="s">
        <v>152</v>
      </c>
      <c r="H43">
        <v>3</v>
      </c>
      <c r="I43" s="5">
        <v>59</v>
      </c>
      <c r="J43" t="s">
        <v>38</v>
      </c>
      <c r="K43" s="5">
        <v>177</v>
      </c>
    </row>
    <row r="44" spans="1:11" x14ac:dyDescent="0.2">
      <c r="A44" t="s">
        <v>153</v>
      </c>
      <c r="B44" s="4">
        <v>46036</v>
      </c>
      <c r="C44" t="s">
        <v>154</v>
      </c>
      <c r="D44" t="s">
        <v>41</v>
      </c>
      <c r="E44" t="s">
        <v>42</v>
      </c>
      <c r="F44" t="s">
        <v>51</v>
      </c>
      <c r="G44" t="s">
        <v>155</v>
      </c>
      <c r="H44">
        <v>2</v>
      </c>
      <c r="I44" s="5">
        <v>63</v>
      </c>
      <c r="J44" t="s">
        <v>38</v>
      </c>
      <c r="K44" s="5">
        <v>126</v>
      </c>
    </row>
    <row r="45" spans="1:11" x14ac:dyDescent="0.2">
      <c r="A45" t="s">
        <v>156</v>
      </c>
      <c r="B45" s="4">
        <v>46036</v>
      </c>
      <c r="C45" t="s">
        <v>157</v>
      </c>
      <c r="D45" t="s">
        <v>41</v>
      </c>
      <c r="E45" t="s">
        <v>42</v>
      </c>
      <c r="F45" t="s">
        <v>51</v>
      </c>
      <c r="G45" t="s">
        <v>155</v>
      </c>
      <c r="H45">
        <v>2</v>
      </c>
      <c r="I45" s="5">
        <v>54</v>
      </c>
      <c r="J45" t="s">
        <v>38</v>
      </c>
      <c r="K45" s="5">
        <v>108</v>
      </c>
    </row>
    <row r="46" spans="1:11" x14ac:dyDescent="0.2">
      <c r="A46" t="s">
        <v>158</v>
      </c>
      <c r="B46" s="4">
        <v>46037</v>
      </c>
      <c r="C46" t="s">
        <v>159</v>
      </c>
      <c r="D46" t="s">
        <v>58</v>
      </c>
      <c r="E46" t="s">
        <v>91</v>
      </c>
      <c r="F46" t="s">
        <v>43</v>
      </c>
      <c r="G46" t="s">
        <v>48</v>
      </c>
      <c r="H46">
        <v>1</v>
      </c>
      <c r="I46" s="5">
        <v>179</v>
      </c>
      <c r="J46" t="s">
        <v>61</v>
      </c>
      <c r="K46" s="5">
        <v>179</v>
      </c>
    </row>
    <row r="47" spans="1:11" x14ac:dyDescent="0.2">
      <c r="A47" t="s">
        <v>160</v>
      </c>
      <c r="B47" s="4">
        <v>46037</v>
      </c>
      <c r="C47" t="s">
        <v>161</v>
      </c>
      <c r="D47" t="s">
        <v>41</v>
      </c>
      <c r="E47" t="s">
        <v>42</v>
      </c>
      <c r="F47" t="s">
        <v>36</v>
      </c>
      <c r="G47" t="s">
        <v>85</v>
      </c>
      <c r="H47">
        <v>1</v>
      </c>
      <c r="I47" s="5">
        <v>80.099999999999994</v>
      </c>
      <c r="J47" t="s">
        <v>38</v>
      </c>
      <c r="K47" s="5">
        <v>80.099999999999994</v>
      </c>
    </row>
    <row r="48" spans="1:11" x14ac:dyDescent="0.2">
      <c r="A48" t="s">
        <v>162</v>
      </c>
      <c r="B48" s="4">
        <v>46038</v>
      </c>
      <c r="C48" t="s">
        <v>163</v>
      </c>
      <c r="D48" t="s">
        <v>47</v>
      </c>
      <c r="E48" t="s">
        <v>42</v>
      </c>
      <c r="F48" t="s">
        <v>59</v>
      </c>
      <c r="G48" t="s">
        <v>111</v>
      </c>
      <c r="H48">
        <v>1</v>
      </c>
      <c r="I48" s="5">
        <v>78.75</v>
      </c>
      <c r="J48" t="s">
        <v>38</v>
      </c>
      <c r="K48" s="5">
        <v>78.75</v>
      </c>
    </row>
    <row r="49" spans="1:11" x14ac:dyDescent="0.2">
      <c r="A49" t="s">
        <v>164</v>
      </c>
      <c r="B49" s="4">
        <v>46038</v>
      </c>
      <c r="C49" t="s">
        <v>165</v>
      </c>
      <c r="D49" t="s">
        <v>47</v>
      </c>
      <c r="E49" t="s">
        <v>35</v>
      </c>
      <c r="F49" t="s">
        <v>59</v>
      </c>
      <c r="G49" t="s">
        <v>64</v>
      </c>
      <c r="H49">
        <v>3</v>
      </c>
      <c r="I49" s="5">
        <v>18</v>
      </c>
      <c r="J49" t="s">
        <v>61</v>
      </c>
      <c r="K49" s="5">
        <v>54</v>
      </c>
    </row>
    <row r="50" spans="1:11" x14ac:dyDescent="0.2">
      <c r="A50" t="s">
        <v>166</v>
      </c>
      <c r="B50" s="4">
        <v>46039</v>
      </c>
      <c r="C50" t="s">
        <v>167</v>
      </c>
      <c r="D50" t="s">
        <v>47</v>
      </c>
      <c r="E50" t="s">
        <v>42</v>
      </c>
      <c r="F50" t="s">
        <v>71</v>
      </c>
      <c r="G50" t="s">
        <v>137</v>
      </c>
      <c r="H50">
        <v>1</v>
      </c>
      <c r="I50" s="5">
        <v>99</v>
      </c>
      <c r="J50" t="s">
        <v>38</v>
      </c>
      <c r="K50" s="5">
        <v>99</v>
      </c>
    </row>
    <row r="51" spans="1:11" x14ac:dyDescent="0.2">
      <c r="A51" t="s">
        <v>168</v>
      </c>
      <c r="B51" s="4">
        <v>46039</v>
      </c>
      <c r="C51" t="s">
        <v>169</v>
      </c>
      <c r="D51" t="s">
        <v>34</v>
      </c>
      <c r="E51" t="s">
        <v>42</v>
      </c>
      <c r="F51" t="s">
        <v>43</v>
      </c>
      <c r="G51" t="s">
        <v>44</v>
      </c>
      <c r="H51">
        <v>4</v>
      </c>
      <c r="I51" s="5">
        <v>99</v>
      </c>
      <c r="J51" t="s">
        <v>38</v>
      </c>
      <c r="K51" s="5">
        <v>396</v>
      </c>
    </row>
    <row r="52" spans="1:11" x14ac:dyDescent="0.2">
      <c r="A52" t="s">
        <v>170</v>
      </c>
      <c r="B52" s="4">
        <v>46039</v>
      </c>
      <c r="C52" t="s">
        <v>171</v>
      </c>
      <c r="D52" t="s">
        <v>58</v>
      </c>
      <c r="E52" t="s">
        <v>35</v>
      </c>
      <c r="F52" t="s">
        <v>71</v>
      </c>
      <c r="G52" t="s">
        <v>137</v>
      </c>
      <c r="H52">
        <v>3</v>
      </c>
      <c r="I52" s="5">
        <v>115.5</v>
      </c>
      <c r="J52" t="s">
        <v>65</v>
      </c>
      <c r="K52" s="5">
        <v>346.5</v>
      </c>
    </row>
    <row r="53" spans="1:11" x14ac:dyDescent="0.2">
      <c r="A53" t="s">
        <v>172</v>
      </c>
      <c r="B53" s="4">
        <v>46039</v>
      </c>
      <c r="C53" t="s">
        <v>50</v>
      </c>
      <c r="D53" t="s">
        <v>47</v>
      </c>
      <c r="E53" t="s">
        <v>91</v>
      </c>
      <c r="F53" t="s">
        <v>43</v>
      </c>
      <c r="G53" t="s">
        <v>142</v>
      </c>
      <c r="H53">
        <v>3</v>
      </c>
      <c r="I53" s="5">
        <v>32</v>
      </c>
      <c r="J53" t="s">
        <v>38</v>
      </c>
      <c r="K53" s="5">
        <v>96</v>
      </c>
    </row>
    <row r="54" spans="1:11" x14ac:dyDescent="0.2">
      <c r="A54" t="s">
        <v>173</v>
      </c>
      <c r="B54" s="4">
        <v>46040</v>
      </c>
      <c r="C54" t="s">
        <v>174</v>
      </c>
      <c r="D54" t="s">
        <v>34</v>
      </c>
      <c r="E54" t="s">
        <v>91</v>
      </c>
      <c r="F54" t="s">
        <v>71</v>
      </c>
      <c r="G54" t="s">
        <v>92</v>
      </c>
      <c r="H54">
        <v>5</v>
      </c>
      <c r="I54" s="5">
        <v>65</v>
      </c>
      <c r="J54" t="s">
        <v>65</v>
      </c>
      <c r="K54" s="5">
        <v>325</v>
      </c>
    </row>
    <row r="55" spans="1:11" x14ac:dyDescent="0.2">
      <c r="A55" t="s">
        <v>175</v>
      </c>
      <c r="B55" s="4">
        <v>46040</v>
      </c>
      <c r="C55" t="s">
        <v>176</v>
      </c>
      <c r="D55" t="s">
        <v>114</v>
      </c>
      <c r="E55" t="s">
        <v>35</v>
      </c>
      <c r="F55" t="s">
        <v>36</v>
      </c>
      <c r="G55" t="s">
        <v>85</v>
      </c>
      <c r="H55">
        <v>1</v>
      </c>
      <c r="I55" s="5">
        <v>93.45</v>
      </c>
      <c r="J55" t="s">
        <v>38</v>
      </c>
      <c r="K55" s="5">
        <v>93.45</v>
      </c>
    </row>
    <row r="56" spans="1:11" x14ac:dyDescent="0.2">
      <c r="A56" t="s">
        <v>177</v>
      </c>
      <c r="B56" s="4">
        <v>46041</v>
      </c>
      <c r="C56" t="s">
        <v>178</v>
      </c>
      <c r="D56" t="s">
        <v>34</v>
      </c>
      <c r="E56" t="s">
        <v>42</v>
      </c>
      <c r="F56" t="s">
        <v>71</v>
      </c>
      <c r="G56" t="s">
        <v>95</v>
      </c>
      <c r="H56">
        <v>2</v>
      </c>
      <c r="I56" s="5">
        <v>20</v>
      </c>
      <c r="J56" t="s">
        <v>61</v>
      </c>
      <c r="K56" s="5">
        <v>40</v>
      </c>
    </row>
    <row r="57" spans="1:11" x14ac:dyDescent="0.2">
      <c r="A57" t="s">
        <v>179</v>
      </c>
      <c r="B57" s="4">
        <v>46041</v>
      </c>
      <c r="C57" t="s">
        <v>180</v>
      </c>
      <c r="D57" t="s">
        <v>58</v>
      </c>
      <c r="E57" t="s">
        <v>91</v>
      </c>
      <c r="F57" t="s">
        <v>71</v>
      </c>
      <c r="G57" t="s">
        <v>92</v>
      </c>
      <c r="H57">
        <v>1</v>
      </c>
      <c r="I57" s="5">
        <v>65</v>
      </c>
      <c r="J57" t="s">
        <v>61</v>
      </c>
      <c r="K57" s="5">
        <v>65</v>
      </c>
    </row>
    <row r="58" spans="1:11" x14ac:dyDescent="0.2">
      <c r="A58" t="s">
        <v>181</v>
      </c>
      <c r="B58" s="4">
        <v>46041</v>
      </c>
      <c r="C58" t="s">
        <v>182</v>
      </c>
      <c r="D58" t="s">
        <v>34</v>
      </c>
      <c r="E58" t="s">
        <v>91</v>
      </c>
      <c r="F58" t="s">
        <v>43</v>
      </c>
      <c r="G58" t="s">
        <v>77</v>
      </c>
      <c r="H58">
        <v>1</v>
      </c>
      <c r="I58" s="5">
        <v>45</v>
      </c>
      <c r="J58" t="s">
        <v>61</v>
      </c>
      <c r="K58" s="5">
        <v>45</v>
      </c>
    </row>
    <row r="59" spans="1:11" x14ac:dyDescent="0.2">
      <c r="A59" t="s">
        <v>183</v>
      </c>
      <c r="B59" s="4">
        <v>46042</v>
      </c>
      <c r="C59" t="s">
        <v>184</v>
      </c>
      <c r="D59" t="s">
        <v>47</v>
      </c>
      <c r="E59" t="s">
        <v>42</v>
      </c>
      <c r="F59" t="s">
        <v>36</v>
      </c>
      <c r="G59" t="s">
        <v>68</v>
      </c>
      <c r="H59">
        <v>2</v>
      </c>
      <c r="I59" s="5">
        <v>82.95</v>
      </c>
      <c r="J59" t="s">
        <v>38</v>
      </c>
      <c r="K59" s="5">
        <v>165.9</v>
      </c>
    </row>
    <row r="60" spans="1:11" x14ac:dyDescent="0.2">
      <c r="A60" t="s">
        <v>185</v>
      </c>
      <c r="B60" s="4">
        <v>46042</v>
      </c>
      <c r="C60" t="s">
        <v>171</v>
      </c>
      <c r="D60" t="s">
        <v>58</v>
      </c>
      <c r="E60" t="s">
        <v>91</v>
      </c>
      <c r="F60" t="s">
        <v>43</v>
      </c>
      <c r="G60" t="s">
        <v>44</v>
      </c>
      <c r="H60">
        <v>4</v>
      </c>
      <c r="I60" s="5">
        <v>89.1</v>
      </c>
      <c r="J60" t="s">
        <v>38</v>
      </c>
      <c r="K60" s="5">
        <v>356.4</v>
      </c>
    </row>
    <row r="61" spans="1:11" x14ac:dyDescent="0.2">
      <c r="A61" t="s">
        <v>186</v>
      </c>
      <c r="B61" s="4">
        <v>46042</v>
      </c>
      <c r="C61" t="s">
        <v>187</v>
      </c>
      <c r="D61" t="s">
        <v>114</v>
      </c>
      <c r="E61" t="s">
        <v>91</v>
      </c>
      <c r="F61" t="s">
        <v>36</v>
      </c>
      <c r="G61" t="s">
        <v>152</v>
      </c>
      <c r="H61">
        <v>1</v>
      </c>
      <c r="I61" s="5">
        <v>61.95</v>
      </c>
      <c r="J61" t="s">
        <v>65</v>
      </c>
      <c r="K61" s="5">
        <v>61.95</v>
      </c>
    </row>
    <row r="62" spans="1:11" x14ac:dyDescent="0.2">
      <c r="A62" t="s">
        <v>188</v>
      </c>
      <c r="B62" s="4">
        <v>46042</v>
      </c>
      <c r="C62" t="s">
        <v>189</v>
      </c>
      <c r="D62" t="s">
        <v>47</v>
      </c>
      <c r="E62" t="s">
        <v>91</v>
      </c>
      <c r="F62" t="s">
        <v>51</v>
      </c>
      <c r="G62" t="s">
        <v>155</v>
      </c>
      <c r="H62">
        <v>1</v>
      </c>
      <c r="I62" s="5">
        <v>60</v>
      </c>
      <c r="J62" t="s">
        <v>61</v>
      </c>
      <c r="K62" s="5">
        <v>60</v>
      </c>
    </row>
    <row r="63" spans="1:11" x14ac:dyDescent="0.2">
      <c r="A63" t="s">
        <v>190</v>
      </c>
      <c r="B63" s="4">
        <v>46042</v>
      </c>
      <c r="C63" t="s">
        <v>191</v>
      </c>
      <c r="D63" t="s">
        <v>41</v>
      </c>
      <c r="E63" t="s">
        <v>35</v>
      </c>
      <c r="F63" t="s">
        <v>43</v>
      </c>
      <c r="G63" t="s">
        <v>48</v>
      </c>
      <c r="H63">
        <v>3</v>
      </c>
      <c r="I63" s="5">
        <v>187.95</v>
      </c>
      <c r="J63" t="s">
        <v>61</v>
      </c>
      <c r="K63" s="5">
        <v>563.85</v>
      </c>
    </row>
    <row r="64" spans="1:11" x14ac:dyDescent="0.2">
      <c r="A64" t="s">
        <v>192</v>
      </c>
      <c r="B64" s="4">
        <v>46043</v>
      </c>
      <c r="C64" t="s">
        <v>129</v>
      </c>
      <c r="D64" t="s">
        <v>47</v>
      </c>
      <c r="E64" t="s">
        <v>42</v>
      </c>
      <c r="F64" t="s">
        <v>71</v>
      </c>
      <c r="G64" t="s">
        <v>92</v>
      </c>
      <c r="H64">
        <v>2</v>
      </c>
      <c r="I64" s="5">
        <v>65</v>
      </c>
      <c r="J64" t="s">
        <v>38</v>
      </c>
      <c r="K64" s="5">
        <v>130</v>
      </c>
    </row>
    <row r="65" spans="1:11" x14ac:dyDescent="0.2">
      <c r="A65" t="s">
        <v>193</v>
      </c>
      <c r="B65" s="4">
        <v>46043</v>
      </c>
      <c r="C65" t="s">
        <v>194</v>
      </c>
      <c r="D65" t="s">
        <v>34</v>
      </c>
      <c r="E65" t="s">
        <v>91</v>
      </c>
      <c r="F65" t="s">
        <v>36</v>
      </c>
      <c r="G65" t="s">
        <v>85</v>
      </c>
      <c r="H65">
        <v>3</v>
      </c>
      <c r="I65" s="5">
        <v>93.45</v>
      </c>
      <c r="J65" t="s">
        <v>38</v>
      </c>
      <c r="K65" s="5">
        <v>280.35000000000002</v>
      </c>
    </row>
    <row r="66" spans="1:11" x14ac:dyDescent="0.2">
      <c r="A66" t="s">
        <v>195</v>
      </c>
      <c r="B66" s="4">
        <v>46043</v>
      </c>
      <c r="C66" t="s">
        <v>196</v>
      </c>
      <c r="D66" t="s">
        <v>114</v>
      </c>
      <c r="E66" t="s">
        <v>35</v>
      </c>
      <c r="F66" t="s">
        <v>43</v>
      </c>
      <c r="G66" t="s">
        <v>83</v>
      </c>
      <c r="H66">
        <v>1</v>
      </c>
      <c r="I66" s="5">
        <v>39</v>
      </c>
      <c r="J66" t="s">
        <v>38</v>
      </c>
      <c r="K66" s="5">
        <v>39</v>
      </c>
    </row>
    <row r="67" spans="1:11" x14ac:dyDescent="0.2">
      <c r="A67" t="s">
        <v>197</v>
      </c>
      <c r="B67" s="4">
        <v>46043</v>
      </c>
      <c r="C67" t="s">
        <v>198</v>
      </c>
      <c r="D67" t="s">
        <v>47</v>
      </c>
      <c r="E67" t="s">
        <v>35</v>
      </c>
      <c r="F67" t="s">
        <v>59</v>
      </c>
      <c r="G67" t="s">
        <v>111</v>
      </c>
      <c r="H67">
        <v>1</v>
      </c>
      <c r="I67" s="5">
        <v>75</v>
      </c>
      <c r="J67" t="s">
        <v>38</v>
      </c>
      <c r="K67" s="5">
        <v>75</v>
      </c>
    </row>
    <row r="68" spans="1:11" x14ac:dyDescent="0.2">
      <c r="A68" t="s">
        <v>199</v>
      </c>
      <c r="B68" s="4">
        <v>46043</v>
      </c>
      <c r="C68" t="s">
        <v>200</v>
      </c>
      <c r="D68" t="s">
        <v>47</v>
      </c>
      <c r="E68" t="s">
        <v>91</v>
      </c>
      <c r="F68" t="s">
        <v>51</v>
      </c>
      <c r="G68" t="s">
        <v>52</v>
      </c>
      <c r="H68">
        <v>3</v>
      </c>
      <c r="I68" s="5">
        <v>40.5</v>
      </c>
      <c r="J68" t="s">
        <v>65</v>
      </c>
      <c r="K68" s="5">
        <v>121.5</v>
      </c>
    </row>
    <row r="69" spans="1:11" x14ac:dyDescent="0.2">
      <c r="A69" t="s">
        <v>201</v>
      </c>
      <c r="B69" s="4">
        <v>46044</v>
      </c>
      <c r="C69" t="s">
        <v>202</v>
      </c>
      <c r="D69" t="s">
        <v>114</v>
      </c>
      <c r="E69" t="s">
        <v>35</v>
      </c>
      <c r="F69" t="s">
        <v>36</v>
      </c>
      <c r="G69" t="s">
        <v>68</v>
      </c>
      <c r="H69">
        <v>2</v>
      </c>
      <c r="I69" s="5">
        <v>79</v>
      </c>
      <c r="J69" t="s">
        <v>38</v>
      </c>
      <c r="K69" s="5">
        <v>158</v>
      </c>
    </row>
    <row r="70" spans="1:11" x14ac:dyDescent="0.2">
      <c r="A70" t="s">
        <v>203</v>
      </c>
      <c r="B70" s="4">
        <v>46044</v>
      </c>
      <c r="C70" t="s">
        <v>176</v>
      </c>
      <c r="D70" t="s">
        <v>41</v>
      </c>
      <c r="E70" t="s">
        <v>42</v>
      </c>
      <c r="F70" t="s">
        <v>51</v>
      </c>
      <c r="G70" t="s">
        <v>155</v>
      </c>
      <c r="H70">
        <v>1</v>
      </c>
      <c r="I70" s="5">
        <v>63</v>
      </c>
      <c r="J70" t="s">
        <v>61</v>
      </c>
      <c r="K70" s="5">
        <v>63</v>
      </c>
    </row>
    <row r="71" spans="1:11" x14ac:dyDescent="0.2">
      <c r="A71" t="s">
        <v>204</v>
      </c>
      <c r="B71" s="4">
        <v>46044</v>
      </c>
      <c r="C71" t="s">
        <v>90</v>
      </c>
      <c r="D71" t="s">
        <v>47</v>
      </c>
      <c r="E71" t="s">
        <v>42</v>
      </c>
      <c r="F71" t="s">
        <v>36</v>
      </c>
      <c r="G71" t="s">
        <v>37</v>
      </c>
      <c r="H71">
        <v>4</v>
      </c>
      <c r="I71" s="5">
        <v>36.75</v>
      </c>
      <c r="J71" t="s">
        <v>38</v>
      </c>
      <c r="K71" s="5">
        <v>147</v>
      </c>
    </row>
    <row r="72" spans="1:11" x14ac:dyDescent="0.2">
      <c r="A72" t="s">
        <v>205</v>
      </c>
      <c r="B72" s="4">
        <v>46044</v>
      </c>
      <c r="C72" t="s">
        <v>33</v>
      </c>
      <c r="D72" t="s">
        <v>114</v>
      </c>
      <c r="E72" t="s">
        <v>42</v>
      </c>
      <c r="F72" t="s">
        <v>36</v>
      </c>
      <c r="G72" t="s">
        <v>68</v>
      </c>
      <c r="H72">
        <v>1</v>
      </c>
      <c r="I72" s="5">
        <v>79</v>
      </c>
      <c r="J72" t="s">
        <v>38</v>
      </c>
      <c r="K72" s="5">
        <v>79</v>
      </c>
    </row>
    <row r="73" spans="1:11" x14ac:dyDescent="0.2">
      <c r="A73" t="s">
        <v>206</v>
      </c>
      <c r="B73" s="4">
        <v>46046</v>
      </c>
      <c r="C73" t="s">
        <v>187</v>
      </c>
      <c r="D73" t="s">
        <v>41</v>
      </c>
      <c r="E73" t="s">
        <v>35</v>
      </c>
      <c r="F73" t="s">
        <v>59</v>
      </c>
      <c r="G73" t="s">
        <v>80</v>
      </c>
      <c r="H73">
        <v>1</v>
      </c>
      <c r="I73" s="5">
        <v>35</v>
      </c>
      <c r="J73" t="s">
        <v>61</v>
      </c>
      <c r="K73" s="5">
        <v>35</v>
      </c>
    </row>
    <row r="74" spans="1:11" x14ac:dyDescent="0.2">
      <c r="A74" t="s">
        <v>207</v>
      </c>
      <c r="B74" s="4">
        <v>46046</v>
      </c>
      <c r="C74" t="s">
        <v>54</v>
      </c>
      <c r="D74" t="s">
        <v>47</v>
      </c>
      <c r="E74" t="s">
        <v>35</v>
      </c>
      <c r="F74" t="s">
        <v>36</v>
      </c>
      <c r="G74" t="s">
        <v>122</v>
      </c>
      <c r="H74">
        <v>2</v>
      </c>
      <c r="I74" s="5">
        <v>25</v>
      </c>
      <c r="J74" t="s">
        <v>38</v>
      </c>
      <c r="K74" s="5">
        <v>50</v>
      </c>
    </row>
    <row r="75" spans="1:11" x14ac:dyDescent="0.2">
      <c r="A75" t="s">
        <v>208</v>
      </c>
      <c r="B75" s="4">
        <v>46047</v>
      </c>
      <c r="C75" t="s">
        <v>209</v>
      </c>
      <c r="D75" t="s">
        <v>114</v>
      </c>
      <c r="E75" t="s">
        <v>35</v>
      </c>
      <c r="F75" t="s">
        <v>59</v>
      </c>
      <c r="G75" t="s">
        <v>111</v>
      </c>
      <c r="H75">
        <v>1</v>
      </c>
      <c r="I75" s="5">
        <v>75</v>
      </c>
      <c r="J75" t="s">
        <v>61</v>
      </c>
      <c r="K75" s="5">
        <v>75</v>
      </c>
    </row>
    <row r="76" spans="1:11" x14ac:dyDescent="0.2">
      <c r="A76" t="s">
        <v>210</v>
      </c>
      <c r="B76" s="4">
        <v>46047</v>
      </c>
      <c r="C76" t="s">
        <v>211</v>
      </c>
      <c r="D76" t="s">
        <v>114</v>
      </c>
      <c r="E76" t="s">
        <v>91</v>
      </c>
      <c r="F76" t="s">
        <v>36</v>
      </c>
      <c r="G76" t="s">
        <v>37</v>
      </c>
      <c r="H76">
        <v>2</v>
      </c>
      <c r="I76" s="5">
        <v>35</v>
      </c>
      <c r="J76" t="s">
        <v>38</v>
      </c>
      <c r="K76" s="5">
        <v>70</v>
      </c>
    </row>
    <row r="77" spans="1:11" x14ac:dyDescent="0.2">
      <c r="A77" t="s">
        <v>212</v>
      </c>
      <c r="B77" s="4">
        <v>46047</v>
      </c>
      <c r="C77" t="s">
        <v>154</v>
      </c>
      <c r="D77" t="s">
        <v>114</v>
      </c>
      <c r="E77" t="s">
        <v>91</v>
      </c>
      <c r="F77" t="s">
        <v>43</v>
      </c>
      <c r="G77" t="s">
        <v>44</v>
      </c>
      <c r="H77">
        <v>5</v>
      </c>
      <c r="I77" s="5">
        <v>89.1</v>
      </c>
      <c r="J77" t="s">
        <v>61</v>
      </c>
      <c r="K77" s="5">
        <v>445.5</v>
      </c>
    </row>
    <row r="78" spans="1:11" x14ac:dyDescent="0.2">
      <c r="A78" t="s">
        <v>213</v>
      </c>
      <c r="B78" s="4">
        <v>46047</v>
      </c>
      <c r="C78" t="s">
        <v>214</v>
      </c>
      <c r="D78" t="s">
        <v>114</v>
      </c>
      <c r="E78" t="s">
        <v>35</v>
      </c>
      <c r="F78" t="s">
        <v>43</v>
      </c>
      <c r="G78" t="s">
        <v>142</v>
      </c>
      <c r="H78">
        <v>2</v>
      </c>
      <c r="I78" s="5">
        <v>32</v>
      </c>
      <c r="J78" t="s">
        <v>38</v>
      </c>
      <c r="K78" s="5">
        <v>64</v>
      </c>
    </row>
    <row r="79" spans="1:11" x14ac:dyDescent="0.2">
      <c r="A79" t="s">
        <v>215</v>
      </c>
      <c r="B79" s="4">
        <v>46048</v>
      </c>
      <c r="C79" t="s">
        <v>216</v>
      </c>
      <c r="D79" t="s">
        <v>41</v>
      </c>
      <c r="E79" t="s">
        <v>35</v>
      </c>
      <c r="F79" t="s">
        <v>36</v>
      </c>
      <c r="G79" t="s">
        <v>37</v>
      </c>
      <c r="H79">
        <v>2</v>
      </c>
      <c r="I79" s="5">
        <v>35</v>
      </c>
      <c r="J79" t="s">
        <v>38</v>
      </c>
      <c r="K79" s="5">
        <v>70</v>
      </c>
    </row>
    <row r="80" spans="1:11" x14ac:dyDescent="0.2">
      <c r="A80" t="s">
        <v>217</v>
      </c>
      <c r="B80" s="4">
        <v>46048</v>
      </c>
      <c r="C80" t="s">
        <v>163</v>
      </c>
      <c r="D80" t="s">
        <v>47</v>
      </c>
      <c r="E80" t="s">
        <v>35</v>
      </c>
      <c r="F80" t="s">
        <v>51</v>
      </c>
      <c r="G80" t="s">
        <v>155</v>
      </c>
      <c r="H80">
        <v>1</v>
      </c>
      <c r="I80" s="5">
        <v>60</v>
      </c>
      <c r="J80" t="s">
        <v>65</v>
      </c>
      <c r="K80" s="5">
        <v>60</v>
      </c>
    </row>
    <row r="81" spans="1:11" x14ac:dyDescent="0.2">
      <c r="A81" t="s">
        <v>218</v>
      </c>
      <c r="B81" s="4">
        <v>46049</v>
      </c>
      <c r="C81" t="s">
        <v>163</v>
      </c>
      <c r="D81" t="s">
        <v>34</v>
      </c>
      <c r="E81" t="s">
        <v>91</v>
      </c>
      <c r="F81" t="s">
        <v>59</v>
      </c>
      <c r="G81" t="s">
        <v>106</v>
      </c>
      <c r="H81">
        <v>3</v>
      </c>
      <c r="I81" s="5">
        <v>29.4</v>
      </c>
      <c r="J81" t="s">
        <v>61</v>
      </c>
      <c r="K81" s="5">
        <v>88.2</v>
      </c>
    </row>
    <row r="82" spans="1:11" x14ac:dyDescent="0.2">
      <c r="A82" t="s">
        <v>219</v>
      </c>
      <c r="B82" s="4">
        <v>46049</v>
      </c>
      <c r="C82" t="s">
        <v>118</v>
      </c>
      <c r="D82" t="s">
        <v>41</v>
      </c>
      <c r="E82" t="s">
        <v>35</v>
      </c>
      <c r="F82" t="s">
        <v>59</v>
      </c>
      <c r="G82" t="s">
        <v>111</v>
      </c>
      <c r="H82">
        <v>2</v>
      </c>
      <c r="I82" s="5">
        <v>75</v>
      </c>
      <c r="J82" t="s">
        <v>65</v>
      </c>
      <c r="K82" s="5">
        <v>150</v>
      </c>
    </row>
    <row r="83" spans="1:11" x14ac:dyDescent="0.2">
      <c r="A83" t="s">
        <v>220</v>
      </c>
      <c r="B83" s="4">
        <v>46049</v>
      </c>
      <c r="C83" t="s">
        <v>221</v>
      </c>
      <c r="D83" t="s">
        <v>58</v>
      </c>
      <c r="E83" t="s">
        <v>35</v>
      </c>
      <c r="F83" t="s">
        <v>43</v>
      </c>
      <c r="G83" t="s">
        <v>142</v>
      </c>
      <c r="H83">
        <v>5</v>
      </c>
      <c r="I83" s="5">
        <v>32</v>
      </c>
      <c r="J83" t="s">
        <v>61</v>
      </c>
      <c r="K83" s="5">
        <v>160</v>
      </c>
    </row>
    <row r="84" spans="1:11" x14ac:dyDescent="0.2">
      <c r="A84" t="s">
        <v>222</v>
      </c>
      <c r="B84" s="4">
        <v>46049</v>
      </c>
      <c r="C84" t="s">
        <v>223</v>
      </c>
      <c r="D84" t="s">
        <v>58</v>
      </c>
      <c r="E84" t="s">
        <v>35</v>
      </c>
      <c r="F84" t="s">
        <v>36</v>
      </c>
      <c r="G84" t="s">
        <v>122</v>
      </c>
      <c r="H84">
        <v>1</v>
      </c>
      <c r="I84" s="5">
        <v>26.25</v>
      </c>
      <c r="J84" t="s">
        <v>65</v>
      </c>
      <c r="K84" s="5">
        <v>26.25</v>
      </c>
    </row>
    <row r="85" spans="1:11" x14ac:dyDescent="0.2">
      <c r="A85" t="s">
        <v>224</v>
      </c>
      <c r="B85" s="4">
        <v>46049</v>
      </c>
      <c r="C85" t="s">
        <v>225</v>
      </c>
      <c r="D85" t="s">
        <v>47</v>
      </c>
      <c r="E85" t="s">
        <v>35</v>
      </c>
      <c r="F85" t="s">
        <v>71</v>
      </c>
      <c r="G85" t="s">
        <v>137</v>
      </c>
      <c r="H85">
        <v>1</v>
      </c>
      <c r="I85" s="5">
        <v>110</v>
      </c>
      <c r="J85" t="s">
        <v>38</v>
      </c>
      <c r="K85" s="5">
        <v>110</v>
      </c>
    </row>
    <row r="86" spans="1:11" x14ac:dyDescent="0.2">
      <c r="A86" t="s">
        <v>227</v>
      </c>
      <c r="B86" s="4">
        <v>46050</v>
      </c>
      <c r="C86" t="s">
        <v>228</v>
      </c>
      <c r="D86" t="s">
        <v>41</v>
      </c>
      <c r="E86" t="s">
        <v>35</v>
      </c>
      <c r="F86" t="s">
        <v>59</v>
      </c>
      <c r="G86" t="s">
        <v>111</v>
      </c>
      <c r="H86">
        <v>1</v>
      </c>
      <c r="I86" s="5">
        <v>78.75</v>
      </c>
      <c r="J86" t="s">
        <v>38</v>
      </c>
      <c r="K86" s="5">
        <v>78.75</v>
      </c>
    </row>
    <row r="87" spans="1:11" x14ac:dyDescent="0.2">
      <c r="A87" t="s">
        <v>229</v>
      </c>
      <c r="B87" s="4">
        <v>46050</v>
      </c>
      <c r="C87" t="s">
        <v>230</v>
      </c>
      <c r="D87" t="s">
        <v>34</v>
      </c>
      <c r="E87" t="s">
        <v>35</v>
      </c>
      <c r="F87" t="s">
        <v>36</v>
      </c>
      <c r="G87" t="s">
        <v>68</v>
      </c>
      <c r="H87">
        <v>1</v>
      </c>
      <c r="I87" s="5">
        <v>71.099999999999994</v>
      </c>
      <c r="J87" t="s">
        <v>61</v>
      </c>
      <c r="K87" s="5">
        <v>71.099999999999994</v>
      </c>
    </row>
    <row r="88" spans="1:11" x14ac:dyDescent="0.2">
      <c r="A88" t="s">
        <v>231</v>
      </c>
      <c r="B88" s="4">
        <v>46050</v>
      </c>
      <c r="C88" t="s">
        <v>232</v>
      </c>
      <c r="D88" t="s">
        <v>47</v>
      </c>
      <c r="E88" t="s">
        <v>35</v>
      </c>
      <c r="F88" t="s">
        <v>36</v>
      </c>
      <c r="G88" t="s">
        <v>85</v>
      </c>
      <c r="H88">
        <v>2</v>
      </c>
      <c r="I88" s="5">
        <v>89</v>
      </c>
      <c r="J88" t="s">
        <v>65</v>
      </c>
      <c r="K88" s="5">
        <v>178</v>
      </c>
    </row>
    <row r="89" spans="1:11" x14ac:dyDescent="0.2">
      <c r="A89" t="s">
        <v>233</v>
      </c>
      <c r="B89" s="4">
        <v>46050</v>
      </c>
      <c r="C89" t="s">
        <v>234</v>
      </c>
      <c r="D89" t="s">
        <v>34</v>
      </c>
      <c r="E89" t="s">
        <v>91</v>
      </c>
      <c r="F89" t="s">
        <v>36</v>
      </c>
      <c r="G89" t="s">
        <v>122</v>
      </c>
      <c r="H89">
        <v>3</v>
      </c>
      <c r="I89" s="5">
        <v>26.25</v>
      </c>
      <c r="J89" t="s">
        <v>61</v>
      </c>
      <c r="K89" s="5">
        <v>78.75</v>
      </c>
    </row>
    <row r="90" spans="1:11" x14ac:dyDescent="0.2">
      <c r="A90" t="s">
        <v>235</v>
      </c>
      <c r="B90" s="4">
        <v>46050</v>
      </c>
      <c r="C90" t="s">
        <v>236</v>
      </c>
      <c r="D90" t="s">
        <v>41</v>
      </c>
      <c r="E90" t="s">
        <v>42</v>
      </c>
      <c r="F90" t="s">
        <v>43</v>
      </c>
      <c r="G90" t="s">
        <v>48</v>
      </c>
      <c r="H90">
        <v>1</v>
      </c>
      <c r="I90" s="5">
        <v>179</v>
      </c>
      <c r="J90" t="s">
        <v>38</v>
      </c>
      <c r="K90" s="5">
        <v>179</v>
      </c>
    </row>
    <row r="91" spans="1:11" x14ac:dyDescent="0.2">
      <c r="A91" t="s">
        <v>237</v>
      </c>
      <c r="B91" s="4">
        <v>46050</v>
      </c>
      <c r="C91" t="s">
        <v>238</v>
      </c>
      <c r="D91" t="s">
        <v>58</v>
      </c>
      <c r="E91" t="s">
        <v>91</v>
      </c>
      <c r="F91" t="s">
        <v>71</v>
      </c>
      <c r="G91" t="s">
        <v>72</v>
      </c>
      <c r="H91">
        <v>2</v>
      </c>
      <c r="I91" s="5">
        <v>57.75</v>
      </c>
      <c r="J91" t="s">
        <v>38</v>
      </c>
      <c r="K91" s="5">
        <v>115.5</v>
      </c>
    </row>
    <row r="92" spans="1:11" x14ac:dyDescent="0.2">
      <c r="A92" t="s">
        <v>239</v>
      </c>
      <c r="B92" s="4">
        <v>46050</v>
      </c>
      <c r="C92" t="s">
        <v>240</v>
      </c>
      <c r="D92" t="s">
        <v>47</v>
      </c>
      <c r="E92" t="s">
        <v>91</v>
      </c>
      <c r="F92" t="s">
        <v>36</v>
      </c>
      <c r="G92" t="s">
        <v>85</v>
      </c>
      <c r="H92">
        <v>1</v>
      </c>
      <c r="I92" s="5">
        <v>89</v>
      </c>
      <c r="J92" t="s">
        <v>38</v>
      </c>
      <c r="K92" s="5">
        <v>89</v>
      </c>
    </row>
    <row r="93" spans="1:11" x14ac:dyDescent="0.2">
      <c r="A93" t="s">
        <v>241</v>
      </c>
      <c r="B93" s="4">
        <v>46051</v>
      </c>
      <c r="C93" t="s">
        <v>144</v>
      </c>
      <c r="D93" t="s">
        <v>47</v>
      </c>
      <c r="E93" t="s">
        <v>91</v>
      </c>
      <c r="F93" t="s">
        <v>71</v>
      </c>
      <c r="G93" t="s">
        <v>92</v>
      </c>
      <c r="H93">
        <v>1</v>
      </c>
      <c r="I93" s="5">
        <v>68.25</v>
      </c>
      <c r="J93" t="s">
        <v>38</v>
      </c>
      <c r="K93" s="5">
        <v>68.25</v>
      </c>
    </row>
    <row r="94" spans="1:11" x14ac:dyDescent="0.2">
      <c r="A94" t="s">
        <v>242</v>
      </c>
      <c r="B94" s="4">
        <v>46051</v>
      </c>
      <c r="C94" t="s">
        <v>243</v>
      </c>
      <c r="D94" t="s">
        <v>47</v>
      </c>
      <c r="E94" t="s">
        <v>35</v>
      </c>
      <c r="F94" t="s">
        <v>59</v>
      </c>
      <c r="G94" t="s">
        <v>64</v>
      </c>
      <c r="H94">
        <v>2</v>
      </c>
      <c r="I94" s="5">
        <v>18</v>
      </c>
      <c r="J94" t="s">
        <v>38</v>
      </c>
      <c r="K94" s="5">
        <v>36</v>
      </c>
    </row>
    <row r="95" spans="1:11" x14ac:dyDescent="0.2">
      <c r="A95" t="s">
        <v>244</v>
      </c>
      <c r="B95" s="4">
        <v>46051</v>
      </c>
      <c r="C95" t="s">
        <v>76</v>
      </c>
      <c r="D95" t="s">
        <v>34</v>
      </c>
      <c r="E95" t="s">
        <v>42</v>
      </c>
      <c r="F95" t="s">
        <v>71</v>
      </c>
      <c r="G95" t="s">
        <v>137</v>
      </c>
      <c r="H95">
        <v>3</v>
      </c>
      <c r="I95" s="5">
        <v>110</v>
      </c>
      <c r="J95" t="s">
        <v>38</v>
      </c>
      <c r="K95" s="5">
        <v>330</v>
      </c>
    </row>
    <row r="96" spans="1:11" x14ac:dyDescent="0.2">
      <c r="A96" t="s">
        <v>245</v>
      </c>
      <c r="B96" s="4">
        <v>46051</v>
      </c>
      <c r="C96" t="s">
        <v>246</v>
      </c>
      <c r="D96" t="s">
        <v>34</v>
      </c>
      <c r="E96" t="s">
        <v>35</v>
      </c>
      <c r="F96" t="s">
        <v>43</v>
      </c>
      <c r="G96" t="s">
        <v>77</v>
      </c>
      <c r="H96">
        <v>1</v>
      </c>
      <c r="I96" s="5">
        <v>45</v>
      </c>
      <c r="J96" t="s">
        <v>38</v>
      </c>
      <c r="K96" s="5">
        <v>45</v>
      </c>
    </row>
    <row r="97" spans="1:11" x14ac:dyDescent="0.2">
      <c r="A97" t="s">
        <v>247</v>
      </c>
      <c r="B97" s="4">
        <v>46052</v>
      </c>
      <c r="C97" t="s">
        <v>248</v>
      </c>
      <c r="D97" t="s">
        <v>58</v>
      </c>
      <c r="E97" t="s">
        <v>35</v>
      </c>
      <c r="F97" t="s">
        <v>59</v>
      </c>
      <c r="G97" t="s">
        <v>60</v>
      </c>
      <c r="H97">
        <v>3</v>
      </c>
      <c r="I97" s="5">
        <v>120</v>
      </c>
      <c r="J97" t="s">
        <v>61</v>
      </c>
      <c r="K97" s="5">
        <v>360</v>
      </c>
    </row>
    <row r="98" spans="1:11" x14ac:dyDescent="0.2">
      <c r="A98" t="s">
        <v>249</v>
      </c>
      <c r="B98" s="4">
        <v>46052</v>
      </c>
      <c r="C98" t="s">
        <v>250</v>
      </c>
      <c r="D98" t="s">
        <v>47</v>
      </c>
      <c r="E98" t="s">
        <v>35</v>
      </c>
      <c r="F98" t="s">
        <v>59</v>
      </c>
      <c r="G98" t="s">
        <v>64</v>
      </c>
      <c r="H98">
        <v>5</v>
      </c>
      <c r="I98" s="5">
        <v>18</v>
      </c>
      <c r="J98" t="s">
        <v>38</v>
      </c>
      <c r="K98" s="5">
        <v>90</v>
      </c>
    </row>
    <row r="99" spans="1:11" x14ac:dyDescent="0.2">
      <c r="A99" t="s">
        <v>251</v>
      </c>
      <c r="B99" s="4">
        <v>46052</v>
      </c>
      <c r="C99" t="s">
        <v>252</v>
      </c>
      <c r="D99" t="s">
        <v>47</v>
      </c>
      <c r="E99" t="s">
        <v>42</v>
      </c>
      <c r="F99" t="s">
        <v>43</v>
      </c>
      <c r="G99" t="s">
        <v>83</v>
      </c>
      <c r="H99">
        <v>4</v>
      </c>
      <c r="I99" s="5">
        <v>39</v>
      </c>
      <c r="J99" t="s">
        <v>38</v>
      </c>
      <c r="K99" s="5">
        <v>156</v>
      </c>
    </row>
    <row r="100" spans="1:11" x14ac:dyDescent="0.2">
      <c r="A100" t="s">
        <v>253</v>
      </c>
      <c r="B100" s="4">
        <v>46053</v>
      </c>
      <c r="C100" t="s">
        <v>254</v>
      </c>
      <c r="D100" t="s">
        <v>114</v>
      </c>
      <c r="E100" t="s">
        <v>35</v>
      </c>
      <c r="F100" t="s">
        <v>51</v>
      </c>
      <c r="G100" t="s">
        <v>52</v>
      </c>
      <c r="H100">
        <v>3</v>
      </c>
      <c r="I100" s="5">
        <v>47.25</v>
      </c>
      <c r="J100" t="s">
        <v>38</v>
      </c>
      <c r="K100" s="5">
        <v>141.75</v>
      </c>
    </row>
    <row r="101" spans="1:11" x14ac:dyDescent="0.2">
      <c r="A101" t="s">
        <v>255</v>
      </c>
      <c r="B101" s="4">
        <v>46053</v>
      </c>
      <c r="C101" t="s">
        <v>256</v>
      </c>
      <c r="D101" t="s">
        <v>114</v>
      </c>
      <c r="E101" t="s">
        <v>35</v>
      </c>
      <c r="F101" t="s">
        <v>51</v>
      </c>
      <c r="G101" t="s">
        <v>55</v>
      </c>
      <c r="H101">
        <v>1</v>
      </c>
      <c r="I101" s="5">
        <v>19.8</v>
      </c>
      <c r="J101" t="s">
        <v>38</v>
      </c>
      <c r="K101" s="5">
        <v>19.8</v>
      </c>
    </row>
    <row r="102" spans="1:11" x14ac:dyDescent="0.2">
      <c r="A102" t="s">
        <v>257</v>
      </c>
      <c r="B102" s="4">
        <v>46053</v>
      </c>
      <c r="C102" t="s">
        <v>248</v>
      </c>
      <c r="D102" t="s">
        <v>41</v>
      </c>
      <c r="E102" t="s">
        <v>91</v>
      </c>
      <c r="F102" t="s">
        <v>71</v>
      </c>
      <c r="G102" t="s">
        <v>95</v>
      </c>
      <c r="H102">
        <v>2</v>
      </c>
      <c r="I102" s="5">
        <v>20</v>
      </c>
      <c r="J102" t="s">
        <v>38</v>
      </c>
      <c r="K102" s="5">
        <v>40</v>
      </c>
    </row>
    <row r="103" spans="1:11" x14ac:dyDescent="0.2">
      <c r="A103" t="s">
        <v>258</v>
      </c>
      <c r="B103" s="4">
        <v>46054</v>
      </c>
      <c r="C103" t="s">
        <v>259</v>
      </c>
      <c r="D103" t="s">
        <v>47</v>
      </c>
      <c r="E103" t="s">
        <v>91</v>
      </c>
      <c r="F103" t="s">
        <v>36</v>
      </c>
      <c r="G103" t="s">
        <v>152</v>
      </c>
      <c r="H103">
        <v>2</v>
      </c>
      <c r="I103" s="5">
        <v>59</v>
      </c>
      <c r="J103" t="s">
        <v>65</v>
      </c>
      <c r="K103" s="5">
        <v>118</v>
      </c>
    </row>
    <row r="104" spans="1:11" x14ac:dyDescent="0.2">
      <c r="A104" t="s">
        <v>260</v>
      </c>
      <c r="B104" s="4">
        <v>46054</v>
      </c>
      <c r="C104" t="s">
        <v>261</v>
      </c>
      <c r="D104" t="s">
        <v>58</v>
      </c>
      <c r="E104" t="s">
        <v>35</v>
      </c>
      <c r="F104" t="s">
        <v>43</v>
      </c>
      <c r="G104" t="s">
        <v>83</v>
      </c>
      <c r="H104">
        <v>3</v>
      </c>
      <c r="I104" s="5">
        <v>35.1</v>
      </c>
      <c r="J104" t="s">
        <v>38</v>
      </c>
      <c r="K104" s="5">
        <v>105.3</v>
      </c>
    </row>
    <row r="105" spans="1:11" x14ac:dyDescent="0.2">
      <c r="A105" t="s">
        <v>262</v>
      </c>
      <c r="B105" s="4">
        <v>46054</v>
      </c>
      <c r="C105" t="s">
        <v>263</v>
      </c>
      <c r="D105" t="s">
        <v>47</v>
      </c>
      <c r="E105" t="s">
        <v>35</v>
      </c>
      <c r="F105" t="s">
        <v>51</v>
      </c>
      <c r="G105" t="s">
        <v>99</v>
      </c>
      <c r="H105">
        <v>1</v>
      </c>
      <c r="I105" s="5">
        <v>16.2</v>
      </c>
      <c r="J105" t="s">
        <v>38</v>
      </c>
      <c r="K105" s="5">
        <v>16.2</v>
      </c>
    </row>
    <row r="106" spans="1:11" x14ac:dyDescent="0.2">
      <c r="A106" t="s">
        <v>264</v>
      </c>
      <c r="B106" s="4">
        <v>46054</v>
      </c>
      <c r="C106" t="s">
        <v>265</v>
      </c>
      <c r="D106" t="s">
        <v>47</v>
      </c>
      <c r="E106" t="s">
        <v>35</v>
      </c>
      <c r="F106" t="s">
        <v>36</v>
      </c>
      <c r="G106" t="s">
        <v>85</v>
      </c>
      <c r="H106">
        <v>3</v>
      </c>
      <c r="I106" s="5">
        <v>89</v>
      </c>
      <c r="J106" t="s">
        <v>38</v>
      </c>
      <c r="K106" s="5">
        <v>267</v>
      </c>
    </row>
    <row r="107" spans="1:11" x14ac:dyDescent="0.2">
      <c r="A107" t="s">
        <v>266</v>
      </c>
      <c r="B107" s="4">
        <v>46055</v>
      </c>
      <c r="C107" t="s">
        <v>267</v>
      </c>
      <c r="D107" t="s">
        <v>47</v>
      </c>
      <c r="E107" t="s">
        <v>35</v>
      </c>
      <c r="F107" t="s">
        <v>59</v>
      </c>
      <c r="G107" t="s">
        <v>64</v>
      </c>
      <c r="H107">
        <v>3</v>
      </c>
      <c r="I107" s="5">
        <v>18</v>
      </c>
      <c r="J107" t="s">
        <v>38</v>
      </c>
      <c r="K107" s="5">
        <v>54</v>
      </c>
    </row>
    <row r="108" spans="1:11" x14ac:dyDescent="0.2">
      <c r="A108" t="s">
        <v>268</v>
      </c>
      <c r="B108" s="4">
        <v>46055</v>
      </c>
      <c r="C108" t="s">
        <v>269</v>
      </c>
      <c r="D108" t="s">
        <v>114</v>
      </c>
      <c r="E108" t="s">
        <v>35</v>
      </c>
      <c r="F108" t="s">
        <v>71</v>
      </c>
      <c r="G108" t="s">
        <v>72</v>
      </c>
      <c r="H108">
        <v>3</v>
      </c>
      <c r="I108" s="5">
        <v>57.75</v>
      </c>
      <c r="J108" t="s">
        <v>65</v>
      </c>
      <c r="K108" s="5">
        <v>173.25</v>
      </c>
    </row>
    <row r="109" spans="1:11" x14ac:dyDescent="0.2">
      <c r="A109" t="s">
        <v>270</v>
      </c>
      <c r="B109" s="4">
        <v>46056</v>
      </c>
      <c r="C109" t="s">
        <v>271</v>
      </c>
      <c r="D109" t="s">
        <v>41</v>
      </c>
      <c r="E109" t="s">
        <v>35</v>
      </c>
      <c r="F109" t="s">
        <v>43</v>
      </c>
      <c r="G109" t="s">
        <v>44</v>
      </c>
      <c r="H109">
        <v>3</v>
      </c>
      <c r="I109" s="5">
        <v>89.1</v>
      </c>
      <c r="J109" t="s">
        <v>61</v>
      </c>
      <c r="K109" s="5">
        <v>267.3</v>
      </c>
    </row>
    <row r="110" spans="1:11" x14ac:dyDescent="0.2">
      <c r="A110" t="s">
        <v>272</v>
      </c>
      <c r="B110" s="4">
        <v>46056</v>
      </c>
      <c r="C110" t="s">
        <v>273</v>
      </c>
      <c r="D110" t="s">
        <v>34</v>
      </c>
      <c r="E110" t="s">
        <v>91</v>
      </c>
      <c r="F110" t="s">
        <v>36</v>
      </c>
      <c r="G110" t="s">
        <v>37</v>
      </c>
      <c r="H110">
        <v>2</v>
      </c>
      <c r="I110" s="5">
        <v>36.75</v>
      </c>
      <c r="J110" t="s">
        <v>38</v>
      </c>
      <c r="K110" s="5">
        <v>73.5</v>
      </c>
    </row>
    <row r="111" spans="1:11" x14ac:dyDescent="0.2">
      <c r="A111" t="s">
        <v>274</v>
      </c>
      <c r="B111" s="4">
        <v>46056</v>
      </c>
      <c r="C111" t="s">
        <v>275</v>
      </c>
      <c r="D111" t="s">
        <v>47</v>
      </c>
      <c r="E111" t="s">
        <v>35</v>
      </c>
      <c r="F111" t="s">
        <v>36</v>
      </c>
      <c r="G111" t="s">
        <v>152</v>
      </c>
      <c r="H111">
        <v>4</v>
      </c>
      <c r="I111" s="5">
        <v>59</v>
      </c>
      <c r="J111" t="s">
        <v>38</v>
      </c>
      <c r="K111" s="5">
        <v>236</v>
      </c>
    </row>
    <row r="112" spans="1:11" x14ac:dyDescent="0.2">
      <c r="A112" t="s">
        <v>276</v>
      </c>
      <c r="B112" s="4">
        <v>46057</v>
      </c>
      <c r="C112" t="s">
        <v>277</v>
      </c>
      <c r="D112" t="s">
        <v>58</v>
      </c>
      <c r="E112" t="s">
        <v>42</v>
      </c>
      <c r="F112" t="s">
        <v>43</v>
      </c>
      <c r="G112" t="s">
        <v>83</v>
      </c>
      <c r="H112">
        <v>3</v>
      </c>
      <c r="I112" s="5">
        <v>39</v>
      </c>
      <c r="J112" t="s">
        <v>38</v>
      </c>
      <c r="K112" s="5">
        <v>117</v>
      </c>
    </row>
    <row r="113" spans="1:11" x14ac:dyDescent="0.2">
      <c r="A113" t="s">
        <v>278</v>
      </c>
      <c r="B113" s="4">
        <v>46057</v>
      </c>
      <c r="C113" t="s">
        <v>279</v>
      </c>
      <c r="D113" t="s">
        <v>114</v>
      </c>
      <c r="E113" t="s">
        <v>35</v>
      </c>
      <c r="F113" t="s">
        <v>36</v>
      </c>
      <c r="G113" t="s">
        <v>68</v>
      </c>
      <c r="H113">
        <v>3</v>
      </c>
      <c r="I113" s="5">
        <v>71.099999999999994</v>
      </c>
      <c r="J113" t="s">
        <v>61</v>
      </c>
      <c r="K113" s="5">
        <v>213.3</v>
      </c>
    </row>
    <row r="114" spans="1:11" x14ac:dyDescent="0.2">
      <c r="A114" t="s">
        <v>280</v>
      </c>
      <c r="B114" s="4">
        <v>46057</v>
      </c>
      <c r="C114" t="s">
        <v>33</v>
      </c>
      <c r="D114" t="s">
        <v>58</v>
      </c>
      <c r="E114" t="s">
        <v>91</v>
      </c>
      <c r="F114" t="s">
        <v>51</v>
      </c>
      <c r="G114" t="s">
        <v>119</v>
      </c>
      <c r="H114">
        <v>1</v>
      </c>
      <c r="I114" s="5">
        <v>30</v>
      </c>
      <c r="J114" t="s">
        <v>38</v>
      </c>
      <c r="K114" s="5">
        <v>30</v>
      </c>
    </row>
    <row r="115" spans="1:11" x14ac:dyDescent="0.2">
      <c r="A115" t="s">
        <v>281</v>
      </c>
      <c r="B115" s="4">
        <v>46057</v>
      </c>
      <c r="C115" t="s">
        <v>105</v>
      </c>
      <c r="D115" t="s">
        <v>34</v>
      </c>
      <c r="E115" t="s">
        <v>91</v>
      </c>
      <c r="F115" t="s">
        <v>43</v>
      </c>
      <c r="G115" t="s">
        <v>83</v>
      </c>
      <c r="H115">
        <v>3</v>
      </c>
      <c r="I115" s="5">
        <v>39</v>
      </c>
      <c r="J115" t="s">
        <v>61</v>
      </c>
      <c r="K115" s="5">
        <v>117</v>
      </c>
    </row>
    <row r="116" spans="1:11" x14ac:dyDescent="0.2">
      <c r="A116" t="s">
        <v>282</v>
      </c>
      <c r="B116" s="4">
        <v>46057</v>
      </c>
      <c r="C116" t="s">
        <v>283</v>
      </c>
      <c r="D116" t="s">
        <v>114</v>
      </c>
      <c r="E116" t="s">
        <v>35</v>
      </c>
      <c r="F116" t="s">
        <v>59</v>
      </c>
      <c r="G116" t="s">
        <v>111</v>
      </c>
      <c r="H116">
        <v>1</v>
      </c>
      <c r="I116" s="5">
        <v>75</v>
      </c>
      <c r="J116" t="s">
        <v>38</v>
      </c>
      <c r="K116" s="5">
        <v>75</v>
      </c>
    </row>
    <row r="117" spans="1:11" x14ac:dyDescent="0.2">
      <c r="A117" t="s">
        <v>284</v>
      </c>
      <c r="B117" s="4">
        <v>46057</v>
      </c>
      <c r="C117" t="s">
        <v>285</v>
      </c>
      <c r="D117" t="s">
        <v>58</v>
      </c>
      <c r="E117" t="s">
        <v>42</v>
      </c>
      <c r="F117" t="s">
        <v>59</v>
      </c>
      <c r="G117" t="s">
        <v>60</v>
      </c>
      <c r="H117">
        <v>1</v>
      </c>
      <c r="I117" s="5">
        <v>108</v>
      </c>
      <c r="J117" t="s">
        <v>38</v>
      </c>
      <c r="K117" s="5">
        <v>108</v>
      </c>
    </row>
    <row r="118" spans="1:11" x14ac:dyDescent="0.2">
      <c r="A118" t="s">
        <v>286</v>
      </c>
      <c r="B118" s="4">
        <v>46057</v>
      </c>
      <c r="C118" t="s">
        <v>148</v>
      </c>
      <c r="D118" t="s">
        <v>58</v>
      </c>
      <c r="E118" t="s">
        <v>91</v>
      </c>
      <c r="F118" t="s">
        <v>59</v>
      </c>
      <c r="G118" t="s">
        <v>60</v>
      </c>
      <c r="H118">
        <v>1</v>
      </c>
      <c r="I118" s="5">
        <v>120</v>
      </c>
      <c r="J118" t="s">
        <v>38</v>
      </c>
      <c r="K118" s="5">
        <v>120</v>
      </c>
    </row>
    <row r="119" spans="1:11" x14ac:dyDescent="0.2">
      <c r="A119" t="s">
        <v>287</v>
      </c>
      <c r="B119" s="4">
        <v>46058</v>
      </c>
      <c r="C119" t="s">
        <v>271</v>
      </c>
      <c r="D119" t="s">
        <v>34</v>
      </c>
      <c r="E119" t="s">
        <v>35</v>
      </c>
      <c r="F119" t="s">
        <v>43</v>
      </c>
      <c r="G119" t="s">
        <v>142</v>
      </c>
      <c r="H119">
        <v>1</v>
      </c>
      <c r="I119" s="5">
        <v>33.6</v>
      </c>
      <c r="J119" t="s">
        <v>65</v>
      </c>
      <c r="K119" s="5">
        <v>33.6</v>
      </c>
    </row>
    <row r="120" spans="1:11" x14ac:dyDescent="0.2">
      <c r="A120" t="s">
        <v>288</v>
      </c>
      <c r="B120" s="4">
        <v>46058</v>
      </c>
      <c r="C120" t="s">
        <v>50</v>
      </c>
      <c r="D120" t="s">
        <v>47</v>
      </c>
      <c r="E120" t="s">
        <v>42</v>
      </c>
      <c r="F120" t="s">
        <v>59</v>
      </c>
      <c r="G120" t="s">
        <v>111</v>
      </c>
      <c r="H120">
        <v>4</v>
      </c>
      <c r="I120" s="5">
        <v>75</v>
      </c>
      <c r="J120" t="s">
        <v>38</v>
      </c>
      <c r="K120" s="5">
        <v>300</v>
      </c>
    </row>
    <row r="121" spans="1:11" x14ac:dyDescent="0.2">
      <c r="A121" t="s">
        <v>289</v>
      </c>
      <c r="B121" s="4">
        <v>46058</v>
      </c>
      <c r="C121" t="s">
        <v>290</v>
      </c>
      <c r="D121" t="s">
        <v>114</v>
      </c>
      <c r="E121" t="s">
        <v>91</v>
      </c>
      <c r="F121" t="s">
        <v>51</v>
      </c>
      <c r="G121" t="s">
        <v>119</v>
      </c>
      <c r="H121">
        <v>1</v>
      </c>
      <c r="I121" s="5">
        <v>31.5</v>
      </c>
      <c r="J121" t="s">
        <v>61</v>
      </c>
      <c r="K121" s="5">
        <v>31.5</v>
      </c>
    </row>
    <row r="122" spans="1:11" x14ac:dyDescent="0.2">
      <c r="A122" t="s">
        <v>291</v>
      </c>
      <c r="B122" s="4">
        <v>46058</v>
      </c>
      <c r="C122" t="s">
        <v>292</v>
      </c>
      <c r="D122" t="s">
        <v>47</v>
      </c>
      <c r="E122" t="s">
        <v>35</v>
      </c>
      <c r="F122" t="s">
        <v>43</v>
      </c>
      <c r="G122" t="s">
        <v>77</v>
      </c>
      <c r="H122">
        <v>1</v>
      </c>
      <c r="I122" s="5">
        <v>45</v>
      </c>
      <c r="J122" t="s">
        <v>61</v>
      </c>
      <c r="K122" s="5">
        <v>45</v>
      </c>
    </row>
    <row r="123" spans="1:11" x14ac:dyDescent="0.2">
      <c r="A123" t="s">
        <v>293</v>
      </c>
      <c r="B123" s="4">
        <v>46058</v>
      </c>
      <c r="C123" t="s">
        <v>250</v>
      </c>
      <c r="D123" t="s">
        <v>47</v>
      </c>
      <c r="E123" t="s">
        <v>35</v>
      </c>
      <c r="F123" t="s">
        <v>71</v>
      </c>
      <c r="G123" t="s">
        <v>95</v>
      </c>
      <c r="H123">
        <v>2</v>
      </c>
      <c r="I123" s="5">
        <v>18</v>
      </c>
      <c r="J123" t="s">
        <v>38</v>
      </c>
      <c r="K123" s="5">
        <v>36</v>
      </c>
    </row>
    <row r="124" spans="1:11" x14ac:dyDescent="0.2">
      <c r="A124" t="s">
        <v>294</v>
      </c>
      <c r="B124" s="4">
        <v>46058</v>
      </c>
      <c r="C124" t="s">
        <v>295</v>
      </c>
      <c r="D124" t="s">
        <v>47</v>
      </c>
      <c r="E124" t="s">
        <v>91</v>
      </c>
      <c r="F124" t="s">
        <v>71</v>
      </c>
      <c r="G124" t="s">
        <v>72</v>
      </c>
      <c r="H124">
        <v>2</v>
      </c>
      <c r="I124" s="5">
        <v>49.5</v>
      </c>
      <c r="J124" t="s">
        <v>38</v>
      </c>
      <c r="K124" s="5">
        <v>99</v>
      </c>
    </row>
    <row r="125" spans="1:11" x14ac:dyDescent="0.2">
      <c r="A125" t="s">
        <v>296</v>
      </c>
      <c r="B125" s="4">
        <v>46059</v>
      </c>
      <c r="C125" t="s">
        <v>297</v>
      </c>
      <c r="D125" t="s">
        <v>34</v>
      </c>
      <c r="E125" t="s">
        <v>91</v>
      </c>
      <c r="F125" t="s">
        <v>59</v>
      </c>
      <c r="G125" t="s">
        <v>106</v>
      </c>
      <c r="H125">
        <v>1</v>
      </c>
      <c r="I125" s="5">
        <v>28</v>
      </c>
      <c r="J125" t="s">
        <v>38</v>
      </c>
      <c r="K125" s="5">
        <v>28</v>
      </c>
    </row>
    <row r="126" spans="1:11" x14ac:dyDescent="0.2">
      <c r="A126" t="s">
        <v>298</v>
      </c>
      <c r="B126" s="4">
        <v>46059</v>
      </c>
      <c r="C126" t="s">
        <v>228</v>
      </c>
      <c r="D126" t="s">
        <v>114</v>
      </c>
      <c r="E126" t="s">
        <v>91</v>
      </c>
      <c r="F126" t="s">
        <v>43</v>
      </c>
      <c r="G126" t="s">
        <v>83</v>
      </c>
      <c r="H126">
        <v>1</v>
      </c>
      <c r="I126" s="5">
        <v>39</v>
      </c>
      <c r="J126" t="s">
        <v>38</v>
      </c>
      <c r="K126" s="5">
        <v>39</v>
      </c>
    </row>
    <row r="127" spans="1:11" x14ac:dyDescent="0.2">
      <c r="A127" t="s">
        <v>299</v>
      </c>
      <c r="B127" s="4">
        <v>46059</v>
      </c>
      <c r="C127" t="s">
        <v>300</v>
      </c>
      <c r="D127" t="s">
        <v>114</v>
      </c>
      <c r="E127" t="s">
        <v>35</v>
      </c>
      <c r="F127" t="s">
        <v>36</v>
      </c>
      <c r="G127" t="s">
        <v>85</v>
      </c>
      <c r="H127">
        <v>1</v>
      </c>
      <c r="I127" s="5">
        <v>89</v>
      </c>
      <c r="J127" t="s">
        <v>61</v>
      </c>
      <c r="K127" s="5">
        <v>89</v>
      </c>
    </row>
    <row r="128" spans="1:11" x14ac:dyDescent="0.2">
      <c r="A128" t="s">
        <v>301</v>
      </c>
      <c r="B128" s="4">
        <v>46059</v>
      </c>
      <c r="C128" t="s">
        <v>236</v>
      </c>
      <c r="D128" t="s">
        <v>58</v>
      </c>
      <c r="E128" t="s">
        <v>42</v>
      </c>
      <c r="F128" t="s">
        <v>43</v>
      </c>
      <c r="G128" t="s">
        <v>77</v>
      </c>
      <c r="H128">
        <v>3</v>
      </c>
      <c r="I128" s="5">
        <v>45</v>
      </c>
      <c r="J128" t="s">
        <v>38</v>
      </c>
      <c r="K128" s="5">
        <v>135</v>
      </c>
    </row>
    <row r="129" spans="1:11" x14ac:dyDescent="0.2">
      <c r="A129" t="s">
        <v>302</v>
      </c>
      <c r="B129" s="4">
        <v>46059</v>
      </c>
      <c r="C129" t="s">
        <v>303</v>
      </c>
      <c r="D129" t="s">
        <v>47</v>
      </c>
      <c r="E129" t="s">
        <v>35</v>
      </c>
      <c r="F129" t="s">
        <v>59</v>
      </c>
      <c r="G129" t="s">
        <v>60</v>
      </c>
      <c r="H129">
        <v>2</v>
      </c>
      <c r="I129" s="5">
        <v>120</v>
      </c>
      <c r="J129" t="s">
        <v>38</v>
      </c>
      <c r="K129" s="5">
        <v>240</v>
      </c>
    </row>
    <row r="130" spans="1:11" x14ac:dyDescent="0.2">
      <c r="A130" t="s">
        <v>304</v>
      </c>
      <c r="B130" s="4">
        <v>46059</v>
      </c>
      <c r="C130" t="s">
        <v>167</v>
      </c>
      <c r="D130" t="s">
        <v>34</v>
      </c>
      <c r="E130" t="s">
        <v>35</v>
      </c>
      <c r="F130" t="s">
        <v>71</v>
      </c>
      <c r="G130" t="s">
        <v>88</v>
      </c>
      <c r="H130">
        <v>1</v>
      </c>
      <c r="I130" s="5">
        <v>75</v>
      </c>
      <c r="J130" t="s">
        <v>38</v>
      </c>
      <c r="K130" s="5">
        <v>75</v>
      </c>
    </row>
    <row r="131" spans="1:11" x14ac:dyDescent="0.2">
      <c r="A131" t="s">
        <v>305</v>
      </c>
      <c r="B131" s="4">
        <v>46059</v>
      </c>
      <c r="C131" t="s">
        <v>151</v>
      </c>
      <c r="D131" t="s">
        <v>114</v>
      </c>
      <c r="E131" t="s">
        <v>91</v>
      </c>
      <c r="F131" t="s">
        <v>36</v>
      </c>
      <c r="G131" t="s">
        <v>37</v>
      </c>
      <c r="H131">
        <v>2</v>
      </c>
      <c r="I131" s="5">
        <v>36.75</v>
      </c>
      <c r="J131" t="s">
        <v>61</v>
      </c>
      <c r="K131" s="5">
        <v>73.5</v>
      </c>
    </row>
    <row r="132" spans="1:11" x14ac:dyDescent="0.2">
      <c r="A132" t="s">
        <v>306</v>
      </c>
      <c r="B132" s="4">
        <v>46060</v>
      </c>
      <c r="C132" t="s">
        <v>240</v>
      </c>
      <c r="D132" t="s">
        <v>114</v>
      </c>
      <c r="E132" t="s">
        <v>35</v>
      </c>
      <c r="F132" t="s">
        <v>71</v>
      </c>
      <c r="G132" t="s">
        <v>92</v>
      </c>
      <c r="H132">
        <v>1</v>
      </c>
      <c r="I132" s="5">
        <v>65</v>
      </c>
      <c r="J132" t="s">
        <v>38</v>
      </c>
      <c r="K132" s="5">
        <v>65</v>
      </c>
    </row>
    <row r="133" spans="1:11" x14ac:dyDescent="0.2">
      <c r="A133" t="s">
        <v>307</v>
      </c>
      <c r="B133" s="4">
        <v>46061</v>
      </c>
      <c r="C133" t="s">
        <v>308</v>
      </c>
      <c r="D133" t="s">
        <v>47</v>
      </c>
      <c r="E133" t="s">
        <v>42</v>
      </c>
      <c r="F133" t="s">
        <v>59</v>
      </c>
      <c r="G133" t="s">
        <v>106</v>
      </c>
      <c r="H133">
        <v>2</v>
      </c>
      <c r="I133" s="5">
        <v>25.2</v>
      </c>
      <c r="J133" t="s">
        <v>61</v>
      </c>
      <c r="K133" s="5">
        <v>50.4</v>
      </c>
    </row>
    <row r="134" spans="1:11" x14ac:dyDescent="0.2">
      <c r="A134" t="s">
        <v>309</v>
      </c>
      <c r="B134" s="4">
        <v>46061</v>
      </c>
      <c r="C134" t="s">
        <v>273</v>
      </c>
      <c r="D134" t="s">
        <v>47</v>
      </c>
      <c r="E134" t="s">
        <v>35</v>
      </c>
      <c r="F134" t="s">
        <v>71</v>
      </c>
      <c r="G134" t="s">
        <v>92</v>
      </c>
      <c r="H134">
        <v>1</v>
      </c>
      <c r="I134" s="5">
        <v>68.25</v>
      </c>
      <c r="J134" t="s">
        <v>38</v>
      </c>
      <c r="K134" s="5">
        <v>68.25</v>
      </c>
    </row>
    <row r="135" spans="1:11" x14ac:dyDescent="0.2">
      <c r="A135" t="s">
        <v>310</v>
      </c>
      <c r="B135" s="4">
        <v>46061</v>
      </c>
      <c r="C135" t="s">
        <v>171</v>
      </c>
      <c r="D135" t="s">
        <v>114</v>
      </c>
      <c r="E135" t="s">
        <v>42</v>
      </c>
      <c r="F135" t="s">
        <v>51</v>
      </c>
      <c r="G135" t="s">
        <v>155</v>
      </c>
      <c r="H135">
        <v>2</v>
      </c>
      <c r="I135" s="5">
        <v>60</v>
      </c>
      <c r="J135" t="s">
        <v>38</v>
      </c>
      <c r="K135" s="5">
        <v>120</v>
      </c>
    </row>
    <row r="136" spans="1:11" x14ac:dyDescent="0.2">
      <c r="A136" t="s">
        <v>311</v>
      </c>
      <c r="B136" s="4">
        <v>46062</v>
      </c>
      <c r="C136" t="s">
        <v>273</v>
      </c>
      <c r="D136" t="s">
        <v>41</v>
      </c>
      <c r="E136" t="s">
        <v>42</v>
      </c>
      <c r="F136" t="s">
        <v>59</v>
      </c>
      <c r="G136" t="s">
        <v>60</v>
      </c>
      <c r="H136">
        <v>4</v>
      </c>
      <c r="I136" s="5">
        <v>120</v>
      </c>
      <c r="J136" t="s">
        <v>61</v>
      </c>
      <c r="K136" s="5">
        <v>480</v>
      </c>
    </row>
    <row r="137" spans="1:11" x14ac:dyDescent="0.2">
      <c r="A137" t="s">
        <v>312</v>
      </c>
      <c r="B137" s="4">
        <v>46062</v>
      </c>
      <c r="C137" t="s">
        <v>279</v>
      </c>
      <c r="D137" t="s">
        <v>47</v>
      </c>
      <c r="E137" t="s">
        <v>91</v>
      </c>
      <c r="F137" t="s">
        <v>36</v>
      </c>
      <c r="G137" t="s">
        <v>122</v>
      </c>
      <c r="H137">
        <v>1</v>
      </c>
      <c r="I137" s="5">
        <v>26.25</v>
      </c>
      <c r="J137" t="s">
        <v>38</v>
      </c>
      <c r="K137" s="5">
        <v>26.25</v>
      </c>
    </row>
    <row r="138" spans="1:11" x14ac:dyDescent="0.2">
      <c r="A138" t="s">
        <v>313</v>
      </c>
      <c r="B138" s="4">
        <v>46062</v>
      </c>
      <c r="C138" t="s">
        <v>314</v>
      </c>
      <c r="D138" t="s">
        <v>41</v>
      </c>
      <c r="E138" t="s">
        <v>42</v>
      </c>
      <c r="F138" t="s">
        <v>36</v>
      </c>
      <c r="G138" t="s">
        <v>122</v>
      </c>
      <c r="H138">
        <v>3</v>
      </c>
      <c r="I138" s="5">
        <v>25</v>
      </c>
      <c r="J138" t="s">
        <v>38</v>
      </c>
      <c r="K138" s="5">
        <v>75</v>
      </c>
    </row>
    <row r="139" spans="1:11" x14ac:dyDescent="0.2">
      <c r="A139" t="s">
        <v>315</v>
      </c>
      <c r="B139" s="4">
        <v>46063</v>
      </c>
      <c r="C139" t="s">
        <v>316</v>
      </c>
      <c r="D139" t="s">
        <v>58</v>
      </c>
      <c r="E139" t="s">
        <v>91</v>
      </c>
      <c r="F139" t="s">
        <v>36</v>
      </c>
      <c r="G139" t="s">
        <v>68</v>
      </c>
      <c r="H139">
        <v>2</v>
      </c>
      <c r="I139" s="5">
        <v>79</v>
      </c>
      <c r="J139" t="s">
        <v>65</v>
      </c>
      <c r="K139" s="5">
        <v>158</v>
      </c>
    </row>
    <row r="140" spans="1:11" x14ac:dyDescent="0.2">
      <c r="A140" t="s">
        <v>317</v>
      </c>
      <c r="B140" s="4">
        <v>46063</v>
      </c>
      <c r="C140" t="s">
        <v>318</v>
      </c>
      <c r="D140" t="s">
        <v>47</v>
      </c>
      <c r="E140" t="s">
        <v>35</v>
      </c>
      <c r="F140" t="s">
        <v>43</v>
      </c>
      <c r="G140" t="s">
        <v>48</v>
      </c>
      <c r="H140">
        <v>2</v>
      </c>
      <c r="I140" s="5">
        <v>179</v>
      </c>
      <c r="J140" t="s">
        <v>38</v>
      </c>
      <c r="K140" s="5">
        <v>358</v>
      </c>
    </row>
    <row r="141" spans="1:11" x14ac:dyDescent="0.2">
      <c r="A141" t="s">
        <v>319</v>
      </c>
      <c r="B141" s="4">
        <v>46063</v>
      </c>
      <c r="C141" t="s">
        <v>269</v>
      </c>
      <c r="D141" t="s">
        <v>47</v>
      </c>
      <c r="E141" t="s">
        <v>91</v>
      </c>
      <c r="F141" t="s">
        <v>36</v>
      </c>
      <c r="G141" t="s">
        <v>152</v>
      </c>
      <c r="H141">
        <v>4</v>
      </c>
      <c r="I141" s="5">
        <v>59</v>
      </c>
      <c r="J141" t="s">
        <v>38</v>
      </c>
      <c r="K141" s="5">
        <v>236</v>
      </c>
    </row>
    <row r="142" spans="1:11" x14ac:dyDescent="0.2">
      <c r="A142" t="s">
        <v>320</v>
      </c>
      <c r="B142" s="4">
        <v>46063</v>
      </c>
      <c r="C142" t="s">
        <v>321</v>
      </c>
      <c r="D142" t="s">
        <v>41</v>
      </c>
      <c r="E142" t="s">
        <v>42</v>
      </c>
      <c r="F142" t="s">
        <v>51</v>
      </c>
      <c r="G142" t="s">
        <v>52</v>
      </c>
      <c r="H142">
        <v>2</v>
      </c>
      <c r="I142" s="5">
        <v>45</v>
      </c>
      <c r="J142" t="s">
        <v>38</v>
      </c>
      <c r="K142" s="5">
        <v>90</v>
      </c>
    </row>
    <row r="143" spans="1:11" x14ac:dyDescent="0.2">
      <c r="A143" t="s">
        <v>322</v>
      </c>
      <c r="B143" s="4">
        <v>46064</v>
      </c>
      <c r="C143" t="s">
        <v>323</v>
      </c>
      <c r="D143" t="s">
        <v>47</v>
      </c>
      <c r="E143" t="s">
        <v>35</v>
      </c>
      <c r="F143" t="s">
        <v>43</v>
      </c>
      <c r="G143" t="s">
        <v>77</v>
      </c>
      <c r="H143">
        <v>1</v>
      </c>
      <c r="I143" s="5">
        <v>45</v>
      </c>
      <c r="J143" t="s">
        <v>38</v>
      </c>
      <c r="K143" s="5">
        <v>45</v>
      </c>
    </row>
    <row r="144" spans="1:11" x14ac:dyDescent="0.2">
      <c r="A144" t="s">
        <v>324</v>
      </c>
      <c r="B144" s="4">
        <v>46064</v>
      </c>
      <c r="C144" t="s">
        <v>325</v>
      </c>
      <c r="D144" t="s">
        <v>41</v>
      </c>
      <c r="E144" t="s">
        <v>35</v>
      </c>
      <c r="F144" t="s">
        <v>36</v>
      </c>
      <c r="G144" t="s">
        <v>48</v>
      </c>
      <c r="H144">
        <v>1</v>
      </c>
      <c r="I144" s="5">
        <v>179</v>
      </c>
      <c r="J144" t="s">
        <v>38</v>
      </c>
      <c r="K144" s="5">
        <v>179</v>
      </c>
    </row>
    <row r="145" spans="1:11" x14ac:dyDescent="0.2">
      <c r="A145" t="s">
        <v>327</v>
      </c>
      <c r="B145" s="4">
        <v>46065</v>
      </c>
      <c r="C145" t="s">
        <v>328</v>
      </c>
      <c r="D145" t="s">
        <v>58</v>
      </c>
      <c r="E145" t="s">
        <v>91</v>
      </c>
      <c r="F145" t="s">
        <v>71</v>
      </c>
      <c r="G145" t="s">
        <v>88</v>
      </c>
      <c r="H145">
        <v>5</v>
      </c>
      <c r="I145" s="5">
        <v>75</v>
      </c>
      <c r="J145" t="s">
        <v>38</v>
      </c>
      <c r="K145" s="5">
        <v>375</v>
      </c>
    </row>
    <row r="146" spans="1:11" x14ac:dyDescent="0.2">
      <c r="A146" t="s">
        <v>329</v>
      </c>
      <c r="B146" s="4">
        <v>46065</v>
      </c>
      <c r="C146" t="s">
        <v>330</v>
      </c>
      <c r="D146" t="s">
        <v>47</v>
      </c>
      <c r="E146" t="s">
        <v>42</v>
      </c>
      <c r="F146" t="s">
        <v>36</v>
      </c>
      <c r="G146" t="s">
        <v>122</v>
      </c>
      <c r="H146">
        <v>1</v>
      </c>
      <c r="I146" s="5">
        <v>25</v>
      </c>
      <c r="J146" t="s">
        <v>61</v>
      </c>
      <c r="K146" s="5">
        <v>25</v>
      </c>
    </row>
    <row r="147" spans="1:11" x14ac:dyDescent="0.2">
      <c r="A147" t="s">
        <v>331</v>
      </c>
      <c r="B147" s="4">
        <v>46067</v>
      </c>
      <c r="C147" t="s">
        <v>234</v>
      </c>
      <c r="D147" t="s">
        <v>47</v>
      </c>
      <c r="E147" t="s">
        <v>91</v>
      </c>
      <c r="F147" t="s">
        <v>71</v>
      </c>
      <c r="G147" t="s">
        <v>92</v>
      </c>
      <c r="H147">
        <v>1</v>
      </c>
      <c r="I147" s="5">
        <v>65</v>
      </c>
      <c r="J147" t="s">
        <v>65</v>
      </c>
      <c r="K147" s="5">
        <v>65</v>
      </c>
    </row>
    <row r="148" spans="1:11" x14ac:dyDescent="0.2">
      <c r="A148" t="s">
        <v>332</v>
      </c>
      <c r="B148" s="4">
        <v>46067</v>
      </c>
      <c r="C148" t="s">
        <v>333</v>
      </c>
      <c r="D148" t="s">
        <v>47</v>
      </c>
      <c r="E148" t="s">
        <v>91</v>
      </c>
      <c r="F148" t="s">
        <v>71</v>
      </c>
      <c r="G148" t="s">
        <v>72</v>
      </c>
      <c r="H148">
        <v>5</v>
      </c>
      <c r="I148" s="5">
        <v>55</v>
      </c>
      <c r="J148" t="s">
        <v>61</v>
      </c>
      <c r="K148" s="5">
        <v>275</v>
      </c>
    </row>
    <row r="149" spans="1:11" x14ac:dyDescent="0.2">
      <c r="A149" t="s">
        <v>334</v>
      </c>
      <c r="B149" s="4">
        <v>46067</v>
      </c>
      <c r="C149" t="s">
        <v>209</v>
      </c>
      <c r="D149" t="s">
        <v>114</v>
      </c>
      <c r="E149" t="s">
        <v>42</v>
      </c>
      <c r="F149" t="s">
        <v>43</v>
      </c>
      <c r="G149" t="s">
        <v>77</v>
      </c>
      <c r="H149">
        <v>4</v>
      </c>
      <c r="I149" s="5">
        <v>47.25</v>
      </c>
      <c r="J149" t="s">
        <v>38</v>
      </c>
      <c r="K149" s="5">
        <v>189</v>
      </c>
    </row>
    <row r="150" spans="1:11" x14ac:dyDescent="0.2">
      <c r="A150" t="s">
        <v>335</v>
      </c>
      <c r="B150" s="4">
        <v>46067</v>
      </c>
      <c r="C150" t="s">
        <v>146</v>
      </c>
      <c r="D150" t="s">
        <v>47</v>
      </c>
      <c r="E150" t="s">
        <v>42</v>
      </c>
      <c r="F150" t="s">
        <v>36</v>
      </c>
      <c r="G150" t="s">
        <v>37</v>
      </c>
      <c r="H150">
        <v>3</v>
      </c>
      <c r="I150" s="5">
        <v>35</v>
      </c>
      <c r="J150" t="s">
        <v>61</v>
      </c>
      <c r="K150" s="5">
        <v>105</v>
      </c>
    </row>
    <row r="151" spans="1:11" x14ac:dyDescent="0.2">
      <c r="A151" t="s">
        <v>336</v>
      </c>
      <c r="B151" s="4">
        <v>46067</v>
      </c>
      <c r="C151" t="s">
        <v>191</v>
      </c>
      <c r="D151" t="s">
        <v>47</v>
      </c>
      <c r="E151" t="s">
        <v>42</v>
      </c>
      <c r="F151" t="s">
        <v>71</v>
      </c>
      <c r="G151" t="s">
        <v>95</v>
      </c>
      <c r="H151">
        <v>2</v>
      </c>
      <c r="I151" s="5">
        <v>20</v>
      </c>
      <c r="J151" t="s">
        <v>38</v>
      </c>
      <c r="K151" s="5">
        <v>40</v>
      </c>
    </row>
    <row r="152" spans="1:11" x14ac:dyDescent="0.2">
      <c r="A152" t="s">
        <v>337</v>
      </c>
      <c r="B152" s="4">
        <v>46067</v>
      </c>
      <c r="C152" t="s">
        <v>283</v>
      </c>
      <c r="D152" t="s">
        <v>47</v>
      </c>
      <c r="E152" t="s">
        <v>35</v>
      </c>
      <c r="F152" t="s">
        <v>59</v>
      </c>
      <c r="G152" t="s">
        <v>80</v>
      </c>
      <c r="H152">
        <v>1</v>
      </c>
      <c r="I152" s="5">
        <v>35</v>
      </c>
      <c r="J152" t="s">
        <v>38</v>
      </c>
      <c r="K152" s="5">
        <v>35</v>
      </c>
    </row>
    <row r="153" spans="1:11" x14ac:dyDescent="0.2">
      <c r="A153" t="s">
        <v>338</v>
      </c>
      <c r="B153" s="4">
        <v>46067</v>
      </c>
      <c r="C153" t="s">
        <v>339</v>
      </c>
      <c r="D153" t="s">
        <v>41</v>
      </c>
      <c r="E153" t="s">
        <v>35</v>
      </c>
      <c r="F153" t="s">
        <v>51</v>
      </c>
      <c r="G153" t="s">
        <v>155</v>
      </c>
      <c r="H153">
        <v>4</v>
      </c>
      <c r="I153" s="5">
        <v>60</v>
      </c>
      <c r="J153" t="s">
        <v>61</v>
      </c>
      <c r="K153" s="5">
        <v>240</v>
      </c>
    </row>
    <row r="154" spans="1:11" x14ac:dyDescent="0.2">
      <c r="A154" t="s">
        <v>340</v>
      </c>
      <c r="B154" s="4">
        <v>46068</v>
      </c>
      <c r="C154" t="s">
        <v>341</v>
      </c>
      <c r="D154" t="s">
        <v>41</v>
      </c>
      <c r="E154" t="s">
        <v>91</v>
      </c>
      <c r="F154" t="s">
        <v>43</v>
      </c>
      <c r="G154" t="s">
        <v>83</v>
      </c>
      <c r="H154">
        <v>1</v>
      </c>
      <c r="I154" s="5">
        <v>40.950000000000003</v>
      </c>
      <c r="J154" t="s">
        <v>65</v>
      </c>
      <c r="K154" s="5">
        <v>40.950000000000003</v>
      </c>
    </row>
    <row r="155" spans="1:11" x14ac:dyDescent="0.2">
      <c r="A155" t="s">
        <v>342</v>
      </c>
      <c r="B155" s="4">
        <v>46069</v>
      </c>
      <c r="C155" t="s">
        <v>343</v>
      </c>
      <c r="D155" t="s">
        <v>41</v>
      </c>
      <c r="E155" t="s">
        <v>42</v>
      </c>
      <c r="F155" t="s">
        <v>36</v>
      </c>
      <c r="G155" t="s">
        <v>122</v>
      </c>
      <c r="H155">
        <v>4</v>
      </c>
      <c r="I155" s="5">
        <v>25</v>
      </c>
      <c r="J155" t="s">
        <v>65</v>
      </c>
      <c r="K155" s="5">
        <v>100</v>
      </c>
    </row>
    <row r="156" spans="1:11" x14ac:dyDescent="0.2">
      <c r="A156" t="s">
        <v>344</v>
      </c>
      <c r="B156" s="4">
        <v>46069</v>
      </c>
      <c r="C156" t="s">
        <v>269</v>
      </c>
      <c r="D156" t="s">
        <v>58</v>
      </c>
      <c r="E156" t="s">
        <v>91</v>
      </c>
      <c r="F156" t="s">
        <v>43</v>
      </c>
      <c r="G156" t="s">
        <v>83</v>
      </c>
      <c r="H156">
        <v>1</v>
      </c>
      <c r="I156" s="5">
        <v>40.950000000000003</v>
      </c>
      <c r="J156" t="s">
        <v>65</v>
      </c>
      <c r="K156" s="5">
        <v>40.950000000000003</v>
      </c>
    </row>
    <row r="157" spans="1:11" x14ac:dyDescent="0.2">
      <c r="A157" t="s">
        <v>345</v>
      </c>
      <c r="B157" s="4">
        <v>46070</v>
      </c>
      <c r="C157" t="s">
        <v>250</v>
      </c>
      <c r="D157" t="s">
        <v>47</v>
      </c>
      <c r="E157" t="s">
        <v>35</v>
      </c>
      <c r="F157" t="s">
        <v>59</v>
      </c>
      <c r="G157" t="s">
        <v>111</v>
      </c>
      <c r="H157">
        <v>1</v>
      </c>
      <c r="I157" s="5">
        <v>67.5</v>
      </c>
      <c r="J157" t="s">
        <v>38</v>
      </c>
      <c r="K157" s="5">
        <v>67.5</v>
      </c>
    </row>
    <row r="158" spans="1:11" x14ac:dyDescent="0.2">
      <c r="A158" t="s">
        <v>346</v>
      </c>
      <c r="B158" s="4">
        <v>46070</v>
      </c>
      <c r="C158" t="s">
        <v>94</v>
      </c>
      <c r="D158" t="s">
        <v>34</v>
      </c>
      <c r="E158" t="s">
        <v>91</v>
      </c>
      <c r="F158" t="s">
        <v>36</v>
      </c>
      <c r="G158" t="s">
        <v>68</v>
      </c>
      <c r="H158">
        <v>2</v>
      </c>
      <c r="I158" s="5">
        <v>82.95</v>
      </c>
      <c r="J158" t="s">
        <v>38</v>
      </c>
      <c r="K158" s="5">
        <v>165.9</v>
      </c>
    </row>
    <row r="159" spans="1:11" x14ac:dyDescent="0.2">
      <c r="A159" t="s">
        <v>347</v>
      </c>
      <c r="B159" s="4">
        <v>46071</v>
      </c>
      <c r="C159" t="s">
        <v>348</v>
      </c>
      <c r="D159" t="s">
        <v>41</v>
      </c>
      <c r="E159" t="s">
        <v>91</v>
      </c>
      <c r="F159" t="s">
        <v>71</v>
      </c>
      <c r="G159" t="s">
        <v>95</v>
      </c>
      <c r="H159">
        <v>2</v>
      </c>
      <c r="I159" s="5">
        <v>20</v>
      </c>
      <c r="J159" t="s">
        <v>65</v>
      </c>
      <c r="K159" s="5">
        <v>40</v>
      </c>
    </row>
    <row r="160" spans="1:11" x14ac:dyDescent="0.2">
      <c r="A160" t="s">
        <v>349</v>
      </c>
      <c r="B160" s="4">
        <v>46071</v>
      </c>
      <c r="C160" t="s">
        <v>350</v>
      </c>
      <c r="D160" t="s">
        <v>47</v>
      </c>
      <c r="E160" t="s">
        <v>42</v>
      </c>
      <c r="F160" t="s">
        <v>43</v>
      </c>
      <c r="G160" t="s">
        <v>83</v>
      </c>
      <c r="H160">
        <v>2</v>
      </c>
      <c r="I160" s="5">
        <v>39</v>
      </c>
      <c r="J160" t="s">
        <v>38</v>
      </c>
      <c r="K160" s="5">
        <v>78</v>
      </c>
    </row>
    <row r="161" spans="1:11" x14ac:dyDescent="0.2">
      <c r="A161" t="s">
        <v>351</v>
      </c>
      <c r="B161" s="4">
        <v>46071</v>
      </c>
      <c r="C161" t="s">
        <v>352</v>
      </c>
      <c r="D161" t="s">
        <v>47</v>
      </c>
      <c r="E161" t="s">
        <v>35</v>
      </c>
      <c r="F161" t="s">
        <v>36</v>
      </c>
      <c r="G161" t="s">
        <v>152</v>
      </c>
      <c r="H161">
        <v>2</v>
      </c>
      <c r="I161" s="5">
        <v>61.95</v>
      </c>
      <c r="J161" t="s">
        <v>38</v>
      </c>
      <c r="K161" s="5">
        <v>123.9</v>
      </c>
    </row>
    <row r="162" spans="1:11" x14ac:dyDescent="0.2">
      <c r="A162" t="s">
        <v>353</v>
      </c>
      <c r="B162" s="4">
        <v>46072</v>
      </c>
      <c r="C162" t="s">
        <v>354</v>
      </c>
      <c r="D162" t="s">
        <v>47</v>
      </c>
      <c r="E162" t="s">
        <v>35</v>
      </c>
      <c r="F162" t="s">
        <v>43</v>
      </c>
      <c r="G162" t="s">
        <v>142</v>
      </c>
      <c r="H162">
        <v>4</v>
      </c>
      <c r="I162" s="5">
        <v>33.6</v>
      </c>
      <c r="J162" t="s">
        <v>38</v>
      </c>
      <c r="K162" s="5">
        <v>134.4</v>
      </c>
    </row>
    <row r="163" spans="1:11" x14ac:dyDescent="0.2">
      <c r="A163" t="s">
        <v>355</v>
      </c>
      <c r="B163" s="4">
        <v>46073</v>
      </c>
      <c r="C163" t="s">
        <v>356</v>
      </c>
      <c r="D163" t="s">
        <v>47</v>
      </c>
      <c r="E163" t="s">
        <v>35</v>
      </c>
      <c r="F163" t="s">
        <v>36</v>
      </c>
      <c r="G163" t="s">
        <v>122</v>
      </c>
      <c r="H163">
        <v>1</v>
      </c>
      <c r="I163" s="5">
        <v>26.25</v>
      </c>
      <c r="J163" t="s">
        <v>61</v>
      </c>
      <c r="K163" s="5">
        <v>26.25</v>
      </c>
    </row>
    <row r="164" spans="1:11" x14ac:dyDescent="0.2">
      <c r="A164" t="s">
        <v>357</v>
      </c>
      <c r="B164" s="4">
        <v>46073</v>
      </c>
      <c r="C164" t="s">
        <v>358</v>
      </c>
      <c r="D164" t="s">
        <v>58</v>
      </c>
      <c r="E164" t="s">
        <v>42</v>
      </c>
      <c r="F164" t="s">
        <v>36</v>
      </c>
      <c r="G164" t="s">
        <v>152</v>
      </c>
      <c r="H164">
        <v>2</v>
      </c>
      <c r="I164" s="5">
        <v>61.95</v>
      </c>
      <c r="J164" t="s">
        <v>38</v>
      </c>
      <c r="K164" s="5">
        <v>123.9</v>
      </c>
    </row>
    <row r="165" spans="1:11" x14ac:dyDescent="0.2">
      <c r="A165" t="s">
        <v>359</v>
      </c>
      <c r="B165" s="4">
        <v>46073</v>
      </c>
      <c r="C165" t="s">
        <v>243</v>
      </c>
      <c r="D165" t="s">
        <v>47</v>
      </c>
      <c r="E165" t="s">
        <v>42</v>
      </c>
      <c r="F165" t="s">
        <v>36</v>
      </c>
      <c r="G165" t="s">
        <v>37</v>
      </c>
      <c r="H165">
        <v>2</v>
      </c>
      <c r="I165" s="5">
        <v>35</v>
      </c>
      <c r="J165" t="s">
        <v>65</v>
      </c>
      <c r="K165" s="5">
        <v>70</v>
      </c>
    </row>
    <row r="166" spans="1:11" x14ac:dyDescent="0.2">
      <c r="A166" t="s">
        <v>360</v>
      </c>
      <c r="B166" s="4">
        <v>46073</v>
      </c>
      <c r="C166" t="s">
        <v>361</v>
      </c>
      <c r="D166" t="s">
        <v>47</v>
      </c>
      <c r="E166" t="s">
        <v>91</v>
      </c>
      <c r="F166" t="s">
        <v>36</v>
      </c>
      <c r="G166" t="s">
        <v>122</v>
      </c>
      <c r="H166">
        <v>1</v>
      </c>
      <c r="I166" s="5">
        <v>26.25</v>
      </c>
      <c r="J166" t="s">
        <v>38</v>
      </c>
      <c r="K166" s="5">
        <v>26.25</v>
      </c>
    </row>
    <row r="167" spans="1:11" x14ac:dyDescent="0.2">
      <c r="A167" t="s">
        <v>362</v>
      </c>
      <c r="B167" s="4">
        <v>46073</v>
      </c>
      <c r="C167" t="s">
        <v>283</v>
      </c>
      <c r="D167" t="s">
        <v>41</v>
      </c>
      <c r="E167" t="s">
        <v>35</v>
      </c>
      <c r="F167" t="s">
        <v>71</v>
      </c>
      <c r="G167" t="s">
        <v>137</v>
      </c>
      <c r="H167">
        <v>1</v>
      </c>
      <c r="I167" s="5">
        <v>110</v>
      </c>
      <c r="J167" t="s">
        <v>65</v>
      </c>
      <c r="K167" s="5">
        <v>110</v>
      </c>
    </row>
    <row r="168" spans="1:11" x14ac:dyDescent="0.2">
      <c r="A168" t="s">
        <v>363</v>
      </c>
      <c r="B168" s="4">
        <v>46074</v>
      </c>
      <c r="C168" t="s">
        <v>198</v>
      </c>
      <c r="D168" t="s">
        <v>58</v>
      </c>
      <c r="E168" t="s">
        <v>35</v>
      </c>
      <c r="F168" t="s">
        <v>71</v>
      </c>
      <c r="G168" t="s">
        <v>92</v>
      </c>
      <c r="H168">
        <v>1</v>
      </c>
      <c r="I168" s="5">
        <v>65</v>
      </c>
      <c r="J168" t="s">
        <v>38</v>
      </c>
      <c r="K168" s="5">
        <v>65</v>
      </c>
    </row>
    <row r="169" spans="1:11" x14ac:dyDescent="0.2">
      <c r="A169" t="s">
        <v>364</v>
      </c>
      <c r="B169" s="4">
        <v>46074</v>
      </c>
      <c r="C169" t="s">
        <v>365</v>
      </c>
      <c r="D169" t="s">
        <v>47</v>
      </c>
      <c r="E169" t="s">
        <v>42</v>
      </c>
      <c r="F169" t="s">
        <v>36</v>
      </c>
      <c r="G169" t="s">
        <v>68</v>
      </c>
      <c r="H169">
        <v>4</v>
      </c>
      <c r="I169" s="5">
        <v>79</v>
      </c>
      <c r="J169" t="s">
        <v>61</v>
      </c>
      <c r="K169" s="5">
        <v>316</v>
      </c>
    </row>
    <row r="170" spans="1:11" x14ac:dyDescent="0.2">
      <c r="A170" t="s">
        <v>366</v>
      </c>
      <c r="B170" s="4">
        <v>46074</v>
      </c>
      <c r="C170" t="s">
        <v>367</v>
      </c>
      <c r="D170" t="s">
        <v>58</v>
      </c>
      <c r="E170" t="s">
        <v>42</v>
      </c>
      <c r="F170" t="s">
        <v>71</v>
      </c>
      <c r="G170" t="s">
        <v>95</v>
      </c>
      <c r="H170">
        <v>1</v>
      </c>
      <c r="I170" s="5">
        <v>21</v>
      </c>
      <c r="J170" t="s">
        <v>61</v>
      </c>
      <c r="K170" s="5">
        <v>21</v>
      </c>
    </row>
    <row r="171" spans="1:11" x14ac:dyDescent="0.2">
      <c r="A171" t="s">
        <v>368</v>
      </c>
      <c r="B171" s="4">
        <v>46075</v>
      </c>
      <c r="C171" t="s">
        <v>277</v>
      </c>
      <c r="D171" t="s">
        <v>41</v>
      </c>
      <c r="E171" t="s">
        <v>42</v>
      </c>
      <c r="F171" t="s">
        <v>59</v>
      </c>
      <c r="G171" t="s">
        <v>64</v>
      </c>
      <c r="H171">
        <v>2</v>
      </c>
      <c r="I171" s="5">
        <v>18</v>
      </c>
      <c r="J171" t="s">
        <v>38</v>
      </c>
      <c r="K171" s="5">
        <v>36</v>
      </c>
    </row>
    <row r="172" spans="1:11" x14ac:dyDescent="0.2">
      <c r="A172" t="s">
        <v>369</v>
      </c>
      <c r="B172" s="4">
        <v>46075</v>
      </c>
      <c r="C172" t="s">
        <v>370</v>
      </c>
      <c r="D172" t="s">
        <v>41</v>
      </c>
      <c r="E172" t="s">
        <v>35</v>
      </c>
      <c r="F172" t="s">
        <v>43</v>
      </c>
      <c r="G172" t="s">
        <v>48</v>
      </c>
      <c r="H172">
        <v>1</v>
      </c>
      <c r="I172" s="5">
        <v>161.1</v>
      </c>
      <c r="J172" t="s">
        <v>38</v>
      </c>
      <c r="K172" s="5">
        <v>161.1</v>
      </c>
    </row>
    <row r="173" spans="1:11" x14ac:dyDescent="0.2">
      <c r="A173" t="s">
        <v>371</v>
      </c>
      <c r="B173" s="4">
        <v>46075</v>
      </c>
      <c r="C173" t="s">
        <v>178</v>
      </c>
      <c r="D173" t="s">
        <v>58</v>
      </c>
      <c r="E173" t="s">
        <v>42</v>
      </c>
      <c r="F173" t="s">
        <v>36</v>
      </c>
      <c r="G173" t="s">
        <v>122</v>
      </c>
      <c r="H173">
        <v>1</v>
      </c>
      <c r="I173" s="5">
        <v>25</v>
      </c>
      <c r="J173" t="s">
        <v>38</v>
      </c>
      <c r="K173" s="5">
        <v>25</v>
      </c>
    </row>
    <row r="174" spans="1:11" x14ac:dyDescent="0.2">
      <c r="A174" t="s">
        <v>372</v>
      </c>
      <c r="B174" s="4">
        <v>46075</v>
      </c>
      <c r="C174" t="s">
        <v>373</v>
      </c>
      <c r="D174" t="s">
        <v>47</v>
      </c>
      <c r="E174" t="s">
        <v>91</v>
      </c>
      <c r="F174" t="s">
        <v>36</v>
      </c>
      <c r="G174" t="s">
        <v>85</v>
      </c>
      <c r="H174">
        <v>2</v>
      </c>
      <c r="I174" s="5">
        <v>89</v>
      </c>
      <c r="J174" t="s">
        <v>65</v>
      </c>
      <c r="K174" s="5">
        <v>178</v>
      </c>
    </row>
    <row r="175" spans="1:11" x14ac:dyDescent="0.2">
      <c r="A175" t="s">
        <v>374</v>
      </c>
      <c r="B175" s="4">
        <v>46076</v>
      </c>
      <c r="C175" t="s">
        <v>367</v>
      </c>
      <c r="D175" t="s">
        <v>58</v>
      </c>
      <c r="E175" t="s">
        <v>42</v>
      </c>
      <c r="F175" t="s">
        <v>71</v>
      </c>
      <c r="G175" t="s">
        <v>88</v>
      </c>
      <c r="H175">
        <v>1</v>
      </c>
      <c r="I175" s="5">
        <v>75</v>
      </c>
      <c r="J175" t="s">
        <v>38</v>
      </c>
      <c r="K175" s="5">
        <v>75</v>
      </c>
    </row>
    <row r="176" spans="1:11" x14ac:dyDescent="0.2">
      <c r="A176" t="s">
        <v>375</v>
      </c>
      <c r="B176" s="4">
        <v>46076</v>
      </c>
      <c r="C176" t="s">
        <v>376</v>
      </c>
      <c r="D176" t="s">
        <v>47</v>
      </c>
      <c r="E176" t="s">
        <v>35</v>
      </c>
      <c r="F176" t="s">
        <v>51</v>
      </c>
      <c r="G176" t="s">
        <v>119</v>
      </c>
      <c r="H176">
        <v>2</v>
      </c>
      <c r="I176" s="5">
        <v>27</v>
      </c>
      <c r="J176" t="s">
        <v>38</v>
      </c>
      <c r="K176" s="5">
        <v>54</v>
      </c>
    </row>
    <row r="177" spans="1:11" x14ac:dyDescent="0.2">
      <c r="A177" t="s">
        <v>377</v>
      </c>
      <c r="B177" s="4">
        <v>46076</v>
      </c>
      <c r="C177" t="s">
        <v>46</v>
      </c>
      <c r="D177" t="s">
        <v>41</v>
      </c>
      <c r="E177" t="s">
        <v>91</v>
      </c>
      <c r="F177" t="s">
        <v>36</v>
      </c>
      <c r="G177" t="s">
        <v>68</v>
      </c>
      <c r="H177">
        <v>1</v>
      </c>
      <c r="I177" s="5">
        <v>79</v>
      </c>
      <c r="J177" t="s">
        <v>61</v>
      </c>
      <c r="K177" s="5">
        <v>79</v>
      </c>
    </row>
    <row r="178" spans="1:11" x14ac:dyDescent="0.2">
      <c r="A178" t="s">
        <v>378</v>
      </c>
      <c r="B178" s="4">
        <v>46076</v>
      </c>
      <c r="C178" t="s">
        <v>379</v>
      </c>
      <c r="D178" t="s">
        <v>41</v>
      </c>
      <c r="E178" t="s">
        <v>35</v>
      </c>
      <c r="F178" t="s">
        <v>59</v>
      </c>
      <c r="G178" t="s">
        <v>80</v>
      </c>
      <c r="H178">
        <v>1</v>
      </c>
      <c r="I178" s="5">
        <v>35</v>
      </c>
      <c r="J178" t="s">
        <v>38</v>
      </c>
      <c r="K178" s="5">
        <v>35</v>
      </c>
    </row>
    <row r="179" spans="1:11" x14ac:dyDescent="0.2">
      <c r="A179" t="s">
        <v>380</v>
      </c>
      <c r="B179" s="4">
        <v>46076</v>
      </c>
      <c r="C179" t="s">
        <v>333</v>
      </c>
      <c r="D179" t="s">
        <v>47</v>
      </c>
      <c r="E179" t="s">
        <v>35</v>
      </c>
      <c r="F179" t="s">
        <v>36</v>
      </c>
      <c r="G179" t="s">
        <v>85</v>
      </c>
      <c r="H179">
        <v>2</v>
      </c>
      <c r="I179" s="5">
        <v>89</v>
      </c>
      <c r="J179" t="s">
        <v>65</v>
      </c>
      <c r="K179" s="5">
        <v>178</v>
      </c>
    </row>
    <row r="180" spans="1:11" x14ac:dyDescent="0.2">
      <c r="A180" t="s">
        <v>381</v>
      </c>
      <c r="B180" s="4">
        <v>46077</v>
      </c>
      <c r="C180" t="s">
        <v>211</v>
      </c>
      <c r="D180" t="s">
        <v>58</v>
      </c>
      <c r="E180" t="s">
        <v>91</v>
      </c>
      <c r="F180" t="s">
        <v>43</v>
      </c>
      <c r="G180" t="s">
        <v>44</v>
      </c>
      <c r="H180">
        <v>1</v>
      </c>
      <c r="I180" s="5">
        <v>103.95</v>
      </c>
      <c r="J180" t="s">
        <v>38</v>
      </c>
      <c r="K180" s="5">
        <v>103.95</v>
      </c>
    </row>
    <row r="181" spans="1:11" x14ac:dyDescent="0.2">
      <c r="A181" t="s">
        <v>382</v>
      </c>
      <c r="B181" s="4">
        <v>46077</v>
      </c>
      <c r="C181" t="s">
        <v>383</v>
      </c>
      <c r="D181" t="s">
        <v>58</v>
      </c>
      <c r="E181" t="s">
        <v>42</v>
      </c>
      <c r="F181" t="s">
        <v>36</v>
      </c>
      <c r="G181" t="s">
        <v>122</v>
      </c>
      <c r="H181">
        <v>2</v>
      </c>
      <c r="I181" s="5">
        <v>25</v>
      </c>
      <c r="J181" t="s">
        <v>38</v>
      </c>
      <c r="K181" s="5">
        <v>50</v>
      </c>
    </row>
    <row r="182" spans="1:11" x14ac:dyDescent="0.2">
      <c r="A182" t="s">
        <v>384</v>
      </c>
      <c r="B182" s="4">
        <v>46078</v>
      </c>
      <c r="C182" t="s">
        <v>385</v>
      </c>
      <c r="D182" t="s">
        <v>34</v>
      </c>
      <c r="E182" t="s">
        <v>91</v>
      </c>
      <c r="F182" t="s">
        <v>59</v>
      </c>
      <c r="G182" t="s">
        <v>64</v>
      </c>
      <c r="H182">
        <v>1</v>
      </c>
      <c r="I182" s="5">
        <v>16.2</v>
      </c>
      <c r="J182" t="s">
        <v>38</v>
      </c>
      <c r="K182" s="5">
        <v>16.2</v>
      </c>
    </row>
    <row r="183" spans="1:11" x14ac:dyDescent="0.2">
      <c r="A183" t="s">
        <v>386</v>
      </c>
      <c r="B183" s="4">
        <v>46078</v>
      </c>
      <c r="C183" t="s">
        <v>259</v>
      </c>
      <c r="D183" t="s">
        <v>41</v>
      </c>
      <c r="E183" t="s">
        <v>35</v>
      </c>
      <c r="F183" t="s">
        <v>51</v>
      </c>
      <c r="G183" t="s">
        <v>52</v>
      </c>
      <c r="H183">
        <v>2</v>
      </c>
      <c r="I183" s="5">
        <v>45</v>
      </c>
      <c r="J183" t="s">
        <v>38</v>
      </c>
      <c r="K183" s="5">
        <v>90</v>
      </c>
    </row>
    <row r="184" spans="1:11" x14ac:dyDescent="0.2">
      <c r="A184" t="s">
        <v>387</v>
      </c>
      <c r="B184" s="4">
        <v>46078</v>
      </c>
      <c r="C184" t="s">
        <v>246</v>
      </c>
      <c r="D184" t="s">
        <v>47</v>
      </c>
      <c r="E184" t="s">
        <v>42</v>
      </c>
      <c r="F184" t="s">
        <v>36</v>
      </c>
      <c r="G184" t="s">
        <v>37</v>
      </c>
      <c r="H184">
        <v>1</v>
      </c>
      <c r="I184" s="5">
        <v>36.75</v>
      </c>
      <c r="J184" t="s">
        <v>61</v>
      </c>
      <c r="K184" s="5">
        <v>36.75</v>
      </c>
    </row>
    <row r="185" spans="1:11" x14ac:dyDescent="0.2">
      <c r="A185" t="s">
        <v>388</v>
      </c>
      <c r="B185" s="4">
        <v>46079</v>
      </c>
      <c r="C185" t="s">
        <v>389</v>
      </c>
      <c r="D185" t="s">
        <v>47</v>
      </c>
      <c r="E185" t="s">
        <v>35</v>
      </c>
      <c r="F185" t="s">
        <v>71</v>
      </c>
      <c r="G185" t="s">
        <v>88</v>
      </c>
      <c r="H185">
        <v>2</v>
      </c>
      <c r="I185" s="5">
        <v>75</v>
      </c>
      <c r="J185" t="s">
        <v>38</v>
      </c>
      <c r="K185" s="5">
        <v>150</v>
      </c>
    </row>
    <row r="186" spans="1:11" x14ac:dyDescent="0.2">
      <c r="A186" t="s">
        <v>390</v>
      </c>
      <c r="B186" s="4">
        <v>46079</v>
      </c>
      <c r="C186" t="s">
        <v>163</v>
      </c>
      <c r="D186" t="s">
        <v>41</v>
      </c>
      <c r="E186" t="s">
        <v>91</v>
      </c>
      <c r="F186" t="s">
        <v>43</v>
      </c>
      <c r="G186" t="s">
        <v>77</v>
      </c>
      <c r="H186">
        <v>2</v>
      </c>
      <c r="I186" s="5">
        <v>45</v>
      </c>
      <c r="J186" t="s">
        <v>61</v>
      </c>
      <c r="K186" s="5">
        <v>90</v>
      </c>
    </row>
    <row r="187" spans="1:11" x14ac:dyDescent="0.2">
      <c r="A187" t="s">
        <v>391</v>
      </c>
      <c r="B187" s="4">
        <v>46079</v>
      </c>
      <c r="C187" t="s">
        <v>392</v>
      </c>
      <c r="D187" t="s">
        <v>58</v>
      </c>
      <c r="E187" t="s">
        <v>42</v>
      </c>
      <c r="F187" t="s">
        <v>36</v>
      </c>
      <c r="G187" t="s">
        <v>85</v>
      </c>
      <c r="H187">
        <v>1</v>
      </c>
      <c r="I187" s="5">
        <v>89</v>
      </c>
      <c r="J187" t="s">
        <v>61</v>
      </c>
      <c r="K187" s="5">
        <v>89</v>
      </c>
    </row>
    <row r="188" spans="1:11" x14ac:dyDescent="0.2">
      <c r="A188" t="s">
        <v>393</v>
      </c>
      <c r="B188" s="4">
        <v>46079</v>
      </c>
      <c r="C188" t="s">
        <v>394</v>
      </c>
      <c r="D188" t="s">
        <v>47</v>
      </c>
      <c r="E188" t="s">
        <v>35</v>
      </c>
      <c r="F188" t="s">
        <v>51</v>
      </c>
      <c r="G188" t="s">
        <v>119</v>
      </c>
      <c r="H188">
        <v>4</v>
      </c>
      <c r="I188" s="5">
        <v>30</v>
      </c>
      <c r="J188" t="s">
        <v>38</v>
      </c>
      <c r="K188" s="5">
        <v>120</v>
      </c>
    </row>
    <row r="189" spans="1:11" x14ac:dyDescent="0.2">
      <c r="A189" t="s">
        <v>395</v>
      </c>
      <c r="B189" s="4">
        <v>46079</v>
      </c>
      <c r="C189" t="s">
        <v>105</v>
      </c>
      <c r="D189" t="s">
        <v>47</v>
      </c>
      <c r="E189" t="s">
        <v>42</v>
      </c>
      <c r="F189" t="s">
        <v>36</v>
      </c>
      <c r="G189" t="s">
        <v>68</v>
      </c>
      <c r="H189">
        <v>1</v>
      </c>
      <c r="I189" s="5">
        <v>82.95</v>
      </c>
      <c r="J189" t="s">
        <v>38</v>
      </c>
      <c r="K189" s="5">
        <v>82.95</v>
      </c>
    </row>
    <row r="190" spans="1:11" x14ac:dyDescent="0.2">
      <c r="A190" t="s">
        <v>396</v>
      </c>
      <c r="B190" s="4">
        <v>46079</v>
      </c>
      <c r="C190" t="s">
        <v>397</v>
      </c>
      <c r="D190" t="s">
        <v>58</v>
      </c>
      <c r="E190" t="s">
        <v>91</v>
      </c>
      <c r="F190" t="s">
        <v>59</v>
      </c>
      <c r="G190" t="s">
        <v>80</v>
      </c>
      <c r="H190">
        <v>1</v>
      </c>
      <c r="I190" s="5">
        <v>36.75</v>
      </c>
      <c r="J190" t="s">
        <v>38</v>
      </c>
      <c r="K190" s="5">
        <v>36.75</v>
      </c>
    </row>
    <row r="191" spans="1:11" x14ac:dyDescent="0.2">
      <c r="A191" t="s">
        <v>398</v>
      </c>
      <c r="B191" s="4">
        <v>46079</v>
      </c>
      <c r="C191" t="s">
        <v>399</v>
      </c>
      <c r="D191" t="s">
        <v>41</v>
      </c>
      <c r="E191" t="s">
        <v>42</v>
      </c>
      <c r="F191" t="s">
        <v>51</v>
      </c>
      <c r="G191" t="s">
        <v>99</v>
      </c>
      <c r="H191">
        <v>1</v>
      </c>
      <c r="I191" s="5">
        <v>16.2</v>
      </c>
      <c r="J191" t="s">
        <v>61</v>
      </c>
      <c r="K191" s="5">
        <v>16.2</v>
      </c>
    </row>
    <row r="192" spans="1:11" x14ac:dyDescent="0.2">
      <c r="A192" t="s">
        <v>400</v>
      </c>
      <c r="B192" s="4">
        <v>46079</v>
      </c>
      <c r="C192" t="s">
        <v>354</v>
      </c>
      <c r="D192" t="s">
        <v>47</v>
      </c>
      <c r="E192" t="s">
        <v>35</v>
      </c>
      <c r="F192" t="s">
        <v>59</v>
      </c>
      <c r="G192" t="s">
        <v>60</v>
      </c>
      <c r="H192">
        <v>3</v>
      </c>
      <c r="I192" s="5">
        <v>126</v>
      </c>
      <c r="J192" t="s">
        <v>38</v>
      </c>
      <c r="K192" s="5">
        <v>378</v>
      </c>
    </row>
    <row r="193" spans="1:11" x14ac:dyDescent="0.2">
      <c r="A193" t="s">
        <v>401</v>
      </c>
      <c r="B193" s="4">
        <v>46080</v>
      </c>
      <c r="C193" t="s">
        <v>402</v>
      </c>
      <c r="D193" t="s">
        <v>58</v>
      </c>
      <c r="E193" t="s">
        <v>91</v>
      </c>
      <c r="F193" t="s">
        <v>59</v>
      </c>
      <c r="G193" t="s">
        <v>80</v>
      </c>
      <c r="H193">
        <v>2</v>
      </c>
      <c r="I193" s="5">
        <v>35</v>
      </c>
      <c r="J193" t="s">
        <v>61</v>
      </c>
      <c r="K193" s="5">
        <v>70</v>
      </c>
    </row>
    <row r="194" spans="1:11" x14ac:dyDescent="0.2">
      <c r="A194" t="s">
        <v>403</v>
      </c>
      <c r="B194" s="4">
        <v>46080</v>
      </c>
      <c r="C194" t="s">
        <v>131</v>
      </c>
      <c r="D194" t="s">
        <v>58</v>
      </c>
      <c r="E194" t="s">
        <v>35</v>
      </c>
      <c r="F194" t="s">
        <v>36</v>
      </c>
      <c r="G194" t="s">
        <v>152</v>
      </c>
      <c r="H194">
        <v>1</v>
      </c>
      <c r="I194" s="5">
        <v>61.95</v>
      </c>
      <c r="J194" t="s">
        <v>38</v>
      </c>
      <c r="K194" s="5">
        <v>61.95</v>
      </c>
    </row>
    <row r="195" spans="1:11" x14ac:dyDescent="0.2">
      <c r="A195" t="s">
        <v>404</v>
      </c>
      <c r="B195" s="4">
        <v>46080</v>
      </c>
      <c r="C195" t="s">
        <v>405</v>
      </c>
      <c r="D195" t="s">
        <v>47</v>
      </c>
      <c r="E195" t="s">
        <v>91</v>
      </c>
      <c r="F195" t="s">
        <v>71</v>
      </c>
      <c r="G195" t="s">
        <v>88</v>
      </c>
      <c r="H195">
        <v>1</v>
      </c>
      <c r="I195" s="5">
        <v>75</v>
      </c>
      <c r="J195" t="s">
        <v>38</v>
      </c>
      <c r="K195" s="5">
        <v>75</v>
      </c>
    </row>
    <row r="196" spans="1:11" x14ac:dyDescent="0.2">
      <c r="A196" t="s">
        <v>406</v>
      </c>
      <c r="B196" s="4">
        <v>46080</v>
      </c>
      <c r="C196" t="s">
        <v>379</v>
      </c>
      <c r="D196" t="s">
        <v>47</v>
      </c>
      <c r="E196" t="s">
        <v>35</v>
      </c>
      <c r="F196" t="s">
        <v>43</v>
      </c>
      <c r="G196" t="s">
        <v>83</v>
      </c>
      <c r="H196">
        <v>1</v>
      </c>
      <c r="I196" s="5">
        <v>39</v>
      </c>
      <c r="J196" t="s">
        <v>38</v>
      </c>
      <c r="K196" s="5">
        <v>39</v>
      </c>
    </row>
    <row r="197" spans="1:11" x14ac:dyDescent="0.2">
      <c r="A197" t="s">
        <v>407</v>
      </c>
      <c r="B197" s="4">
        <v>46081</v>
      </c>
      <c r="C197" t="s">
        <v>408</v>
      </c>
      <c r="D197" t="s">
        <v>47</v>
      </c>
      <c r="E197" t="s">
        <v>35</v>
      </c>
      <c r="F197" t="s">
        <v>59</v>
      </c>
      <c r="G197" t="s">
        <v>60</v>
      </c>
      <c r="H197">
        <v>4</v>
      </c>
      <c r="I197" s="5">
        <v>126</v>
      </c>
      <c r="J197" t="s">
        <v>38</v>
      </c>
      <c r="K197" s="5">
        <v>504</v>
      </c>
    </row>
    <row r="198" spans="1:11" x14ac:dyDescent="0.2">
      <c r="A198" t="s">
        <v>409</v>
      </c>
      <c r="B198" s="4">
        <v>46081</v>
      </c>
      <c r="C198" t="s">
        <v>254</v>
      </c>
      <c r="D198" t="s">
        <v>114</v>
      </c>
      <c r="E198" t="s">
        <v>42</v>
      </c>
      <c r="F198" t="s">
        <v>71</v>
      </c>
      <c r="G198" t="s">
        <v>92</v>
      </c>
      <c r="H198">
        <v>2</v>
      </c>
      <c r="I198" s="5">
        <v>65</v>
      </c>
      <c r="J198" t="s">
        <v>38</v>
      </c>
      <c r="K198" s="5">
        <v>130</v>
      </c>
    </row>
    <row r="199" spans="1:11" x14ac:dyDescent="0.2">
      <c r="A199" t="s">
        <v>410</v>
      </c>
      <c r="B199" s="4">
        <v>46081</v>
      </c>
      <c r="C199" t="s">
        <v>411</v>
      </c>
      <c r="D199" t="s">
        <v>34</v>
      </c>
      <c r="E199" t="s">
        <v>42</v>
      </c>
      <c r="F199" t="s">
        <v>51</v>
      </c>
      <c r="G199" t="s">
        <v>52</v>
      </c>
      <c r="H199">
        <v>1</v>
      </c>
      <c r="I199" s="5">
        <v>45</v>
      </c>
      <c r="J199" t="s">
        <v>38</v>
      </c>
      <c r="K199" s="5">
        <v>45</v>
      </c>
    </row>
    <row r="200" spans="1:11" x14ac:dyDescent="0.2">
      <c r="A200" t="s">
        <v>412</v>
      </c>
      <c r="B200" s="4">
        <v>46081</v>
      </c>
      <c r="C200" t="s">
        <v>413</v>
      </c>
      <c r="D200" t="s">
        <v>47</v>
      </c>
      <c r="E200" t="s">
        <v>35</v>
      </c>
      <c r="F200" t="s">
        <v>43</v>
      </c>
      <c r="G200" t="s">
        <v>44</v>
      </c>
      <c r="H200">
        <v>1</v>
      </c>
      <c r="I200" s="5">
        <v>99</v>
      </c>
      <c r="J200" t="s">
        <v>38</v>
      </c>
      <c r="K200" s="5">
        <v>99</v>
      </c>
    </row>
    <row r="201" spans="1:11" x14ac:dyDescent="0.2">
      <c r="A201" t="s">
        <v>414</v>
      </c>
      <c r="B201" s="4">
        <v>46081</v>
      </c>
      <c r="C201" t="s">
        <v>415</v>
      </c>
      <c r="D201" t="s">
        <v>34</v>
      </c>
      <c r="E201" t="s">
        <v>35</v>
      </c>
      <c r="F201" t="s">
        <v>71</v>
      </c>
      <c r="G201" t="s">
        <v>92</v>
      </c>
      <c r="H201">
        <v>1</v>
      </c>
      <c r="I201" s="5">
        <v>58.5</v>
      </c>
      <c r="J201" t="s">
        <v>38</v>
      </c>
      <c r="K201" s="5">
        <v>58.5</v>
      </c>
    </row>
    <row r="202" spans="1:11" x14ac:dyDescent="0.2">
      <c r="A202" t="s">
        <v>416</v>
      </c>
      <c r="B202" s="4">
        <v>46082</v>
      </c>
      <c r="C202" t="s">
        <v>275</v>
      </c>
      <c r="D202" t="s">
        <v>58</v>
      </c>
      <c r="E202" t="s">
        <v>35</v>
      </c>
      <c r="F202" t="s">
        <v>71</v>
      </c>
      <c r="G202" t="s">
        <v>137</v>
      </c>
      <c r="H202">
        <v>1</v>
      </c>
      <c r="I202" s="5">
        <v>110</v>
      </c>
      <c r="J202" t="s">
        <v>38</v>
      </c>
      <c r="K202" s="5">
        <v>110</v>
      </c>
    </row>
    <row r="203" spans="1:11" x14ac:dyDescent="0.2">
      <c r="A203" t="s">
        <v>417</v>
      </c>
      <c r="B203" s="4">
        <v>46082</v>
      </c>
      <c r="C203" t="s">
        <v>167</v>
      </c>
      <c r="D203" t="s">
        <v>34</v>
      </c>
      <c r="E203" t="s">
        <v>91</v>
      </c>
      <c r="F203" t="s">
        <v>36</v>
      </c>
      <c r="G203" t="s">
        <v>68</v>
      </c>
      <c r="H203">
        <v>3</v>
      </c>
      <c r="I203" s="5">
        <v>79</v>
      </c>
      <c r="J203" t="s">
        <v>38</v>
      </c>
      <c r="K203" s="5">
        <v>237</v>
      </c>
    </row>
    <row r="204" spans="1:11" x14ac:dyDescent="0.2">
      <c r="A204" t="s">
        <v>418</v>
      </c>
      <c r="B204" s="4">
        <v>46082</v>
      </c>
      <c r="C204" t="s">
        <v>419</v>
      </c>
      <c r="D204" t="s">
        <v>47</v>
      </c>
      <c r="E204" t="s">
        <v>35</v>
      </c>
      <c r="F204" t="s">
        <v>36</v>
      </c>
      <c r="G204" t="s">
        <v>152</v>
      </c>
      <c r="H204">
        <v>2</v>
      </c>
      <c r="I204" s="5">
        <v>53.1</v>
      </c>
      <c r="J204" t="s">
        <v>38</v>
      </c>
      <c r="K204" s="5">
        <v>106.2</v>
      </c>
    </row>
    <row r="205" spans="1:11" x14ac:dyDescent="0.2">
      <c r="A205" t="s">
        <v>420</v>
      </c>
      <c r="B205" s="4">
        <v>46082</v>
      </c>
      <c r="C205" t="s">
        <v>421</v>
      </c>
      <c r="D205" t="s">
        <v>114</v>
      </c>
      <c r="E205" t="s">
        <v>42</v>
      </c>
      <c r="F205" t="s">
        <v>36</v>
      </c>
      <c r="G205" t="s">
        <v>37</v>
      </c>
      <c r="H205">
        <v>1</v>
      </c>
      <c r="I205" s="5">
        <v>35</v>
      </c>
      <c r="J205" t="s">
        <v>38</v>
      </c>
      <c r="K205" s="5">
        <v>35</v>
      </c>
    </row>
    <row r="206" spans="1:11" x14ac:dyDescent="0.2">
      <c r="A206" t="s">
        <v>422</v>
      </c>
      <c r="B206" s="4">
        <v>46083</v>
      </c>
      <c r="C206" t="s">
        <v>225</v>
      </c>
      <c r="D206" t="s">
        <v>114</v>
      </c>
      <c r="E206" t="s">
        <v>35</v>
      </c>
      <c r="F206" t="s">
        <v>43</v>
      </c>
      <c r="G206" t="s">
        <v>77</v>
      </c>
      <c r="H206">
        <v>1</v>
      </c>
      <c r="I206" s="5">
        <v>40.5</v>
      </c>
      <c r="J206" t="s">
        <v>38</v>
      </c>
      <c r="K206" s="5">
        <v>40.5</v>
      </c>
    </row>
    <row r="207" spans="1:11" x14ac:dyDescent="0.2">
      <c r="A207" t="s">
        <v>423</v>
      </c>
      <c r="B207" s="4">
        <v>46083</v>
      </c>
      <c r="C207" t="s">
        <v>424</v>
      </c>
      <c r="D207" t="s">
        <v>41</v>
      </c>
      <c r="E207" t="s">
        <v>42</v>
      </c>
      <c r="F207" t="s">
        <v>36</v>
      </c>
      <c r="G207" t="s">
        <v>85</v>
      </c>
      <c r="H207">
        <v>2</v>
      </c>
      <c r="I207" s="5">
        <v>80.099999999999994</v>
      </c>
      <c r="J207" t="s">
        <v>38</v>
      </c>
      <c r="K207" s="5">
        <v>160.19999999999999</v>
      </c>
    </row>
    <row r="208" spans="1:11" x14ac:dyDescent="0.2">
      <c r="A208" t="s">
        <v>425</v>
      </c>
      <c r="B208" s="4">
        <v>46083</v>
      </c>
      <c r="C208" t="s">
        <v>134</v>
      </c>
      <c r="D208" t="s">
        <v>47</v>
      </c>
      <c r="E208" t="s">
        <v>91</v>
      </c>
      <c r="F208" t="s">
        <v>36</v>
      </c>
      <c r="G208" t="s">
        <v>68</v>
      </c>
      <c r="H208">
        <v>1</v>
      </c>
      <c r="I208" s="5">
        <v>71.099999999999994</v>
      </c>
      <c r="J208" t="s">
        <v>38</v>
      </c>
      <c r="K208" s="5">
        <v>71.099999999999994</v>
      </c>
    </row>
    <row r="209" spans="1:11" x14ac:dyDescent="0.2">
      <c r="A209" t="s">
        <v>426</v>
      </c>
      <c r="B209" s="4">
        <v>46083</v>
      </c>
      <c r="C209" t="s">
        <v>63</v>
      </c>
      <c r="D209" t="s">
        <v>47</v>
      </c>
      <c r="E209" t="s">
        <v>42</v>
      </c>
      <c r="F209" t="s">
        <v>43</v>
      </c>
      <c r="G209" t="s">
        <v>48</v>
      </c>
      <c r="H209">
        <v>1</v>
      </c>
      <c r="I209" s="5">
        <v>179</v>
      </c>
      <c r="J209" t="s">
        <v>61</v>
      </c>
      <c r="K209" s="5">
        <v>179</v>
      </c>
    </row>
    <row r="210" spans="1:11" x14ac:dyDescent="0.2">
      <c r="A210" t="s">
        <v>427</v>
      </c>
      <c r="B210" s="4">
        <v>46083</v>
      </c>
      <c r="C210" t="s">
        <v>70</v>
      </c>
      <c r="D210" t="s">
        <v>41</v>
      </c>
      <c r="E210" t="s">
        <v>35</v>
      </c>
      <c r="F210" t="s">
        <v>43</v>
      </c>
      <c r="G210" t="s">
        <v>77</v>
      </c>
      <c r="H210">
        <v>1</v>
      </c>
      <c r="I210" s="5">
        <v>40.5</v>
      </c>
      <c r="J210" t="s">
        <v>38</v>
      </c>
      <c r="K210" s="5">
        <v>40.5</v>
      </c>
    </row>
    <row r="211" spans="1:11" x14ac:dyDescent="0.2">
      <c r="A211" t="s">
        <v>428</v>
      </c>
      <c r="B211" s="4">
        <v>46083</v>
      </c>
      <c r="C211" t="s">
        <v>79</v>
      </c>
      <c r="D211" t="s">
        <v>114</v>
      </c>
      <c r="E211" t="s">
        <v>42</v>
      </c>
      <c r="F211" t="s">
        <v>59</v>
      </c>
      <c r="G211" t="s">
        <v>111</v>
      </c>
      <c r="H211">
        <v>2</v>
      </c>
      <c r="I211" s="5">
        <v>75</v>
      </c>
      <c r="J211" t="s">
        <v>61</v>
      </c>
      <c r="K211" s="5">
        <v>150</v>
      </c>
    </row>
    <row r="212" spans="1:11" x14ac:dyDescent="0.2">
      <c r="A212" t="s">
        <v>429</v>
      </c>
      <c r="B212" s="4">
        <v>46084</v>
      </c>
      <c r="C212" t="s">
        <v>430</v>
      </c>
      <c r="D212" t="s">
        <v>47</v>
      </c>
      <c r="E212" t="s">
        <v>35</v>
      </c>
      <c r="F212" t="s">
        <v>59</v>
      </c>
      <c r="G212" t="s">
        <v>111</v>
      </c>
      <c r="H212">
        <v>1</v>
      </c>
      <c r="I212" s="5">
        <v>75</v>
      </c>
      <c r="J212" t="s">
        <v>38</v>
      </c>
      <c r="K212" s="5">
        <v>75</v>
      </c>
    </row>
    <row r="213" spans="1:11" x14ac:dyDescent="0.2">
      <c r="A213" t="s">
        <v>431</v>
      </c>
      <c r="B213" s="4">
        <v>46084</v>
      </c>
      <c r="C213" t="s">
        <v>432</v>
      </c>
      <c r="D213" t="s">
        <v>114</v>
      </c>
      <c r="E213" t="s">
        <v>35</v>
      </c>
      <c r="F213" t="s">
        <v>51</v>
      </c>
      <c r="G213" t="s">
        <v>119</v>
      </c>
      <c r="H213">
        <v>2</v>
      </c>
      <c r="I213" s="5">
        <v>27</v>
      </c>
      <c r="J213" t="s">
        <v>38</v>
      </c>
      <c r="K213" s="5">
        <v>54</v>
      </c>
    </row>
    <row r="214" spans="1:11" x14ac:dyDescent="0.2">
      <c r="A214" t="s">
        <v>433</v>
      </c>
      <c r="B214" s="4">
        <v>46084</v>
      </c>
      <c r="C214" t="s">
        <v>230</v>
      </c>
      <c r="D214" t="s">
        <v>58</v>
      </c>
      <c r="E214" t="s">
        <v>35</v>
      </c>
      <c r="F214" t="s">
        <v>43</v>
      </c>
      <c r="G214" t="s">
        <v>83</v>
      </c>
      <c r="H214">
        <v>1</v>
      </c>
      <c r="I214" s="5">
        <v>39</v>
      </c>
      <c r="J214" t="s">
        <v>65</v>
      </c>
      <c r="K214" s="5">
        <v>39</v>
      </c>
    </row>
    <row r="215" spans="1:11" x14ac:dyDescent="0.2">
      <c r="A215" t="s">
        <v>434</v>
      </c>
      <c r="B215" s="4">
        <v>46084</v>
      </c>
      <c r="C215" t="s">
        <v>361</v>
      </c>
      <c r="D215" t="s">
        <v>34</v>
      </c>
      <c r="E215" t="s">
        <v>42</v>
      </c>
      <c r="F215" t="s">
        <v>36</v>
      </c>
      <c r="G215" t="s">
        <v>37</v>
      </c>
      <c r="H215">
        <v>2</v>
      </c>
      <c r="I215" s="5">
        <v>36.75</v>
      </c>
      <c r="J215" t="s">
        <v>38</v>
      </c>
      <c r="K215" s="5">
        <v>73.5</v>
      </c>
    </row>
    <row r="216" spans="1:11" x14ac:dyDescent="0.2">
      <c r="A216" t="s">
        <v>435</v>
      </c>
      <c r="B216" s="4">
        <v>46084</v>
      </c>
      <c r="C216" t="s">
        <v>436</v>
      </c>
      <c r="D216" t="s">
        <v>47</v>
      </c>
      <c r="E216" t="s">
        <v>35</v>
      </c>
      <c r="F216" t="s">
        <v>59</v>
      </c>
      <c r="G216" t="s">
        <v>111</v>
      </c>
      <c r="H216">
        <v>4</v>
      </c>
      <c r="I216" s="5">
        <v>75</v>
      </c>
      <c r="J216" t="s">
        <v>38</v>
      </c>
      <c r="K216" s="5">
        <v>300</v>
      </c>
    </row>
    <row r="217" spans="1:11" x14ac:dyDescent="0.2">
      <c r="A217" t="s">
        <v>437</v>
      </c>
      <c r="B217" s="4">
        <v>46085</v>
      </c>
      <c r="C217" t="s">
        <v>182</v>
      </c>
      <c r="D217" t="s">
        <v>41</v>
      </c>
      <c r="E217" t="s">
        <v>91</v>
      </c>
      <c r="F217" t="s">
        <v>51</v>
      </c>
      <c r="G217" t="s">
        <v>119</v>
      </c>
      <c r="H217">
        <v>2</v>
      </c>
      <c r="I217" s="5">
        <v>30</v>
      </c>
      <c r="J217" t="s">
        <v>61</v>
      </c>
      <c r="K217" s="5">
        <v>60</v>
      </c>
    </row>
    <row r="218" spans="1:11" x14ac:dyDescent="0.2">
      <c r="A218" t="s">
        <v>438</v>
      </c>
      <c r="B218" s="4">
        <v>46085</v>
      </c>
      <c r="C218" t="s">
        <v>279</v>
      </c>
      <c r="D218" t="s">
        <v>47</v>
      </c>
      <c r="E218" t="s">
        <v>91</v>
      </c>
      <c r="F218" t="s">
        <v>71</v>
      </c>
      <c r="G218" t="s">
        <v>95</v>
      </c>
      <c r="H218">
        <v>1</v>
      </c>
      <c r="I218" s="5">
        <v>20</v>
      </c>
      <c r="J218" t="s">
        <v>61</v>
      </c>
      <c r="K218" s="5">
        <v>20</v>
      </c>
    </row>
    <row r="219" spans="1:11" x14ac:dyDescent="0.2">
      <c r="A219" t="s">
        <v>439</v>
      </c>
      <c r="B219" s="4">
        <v>46085</v>
      </c>
      <c r="C219" t="s">
        <v>405</v>
      </c>
      <c r="D219" t="s">
        <v>58</v>
      </c>
      <c r="E219" t="s">
        <v>35</v>
      </c>
      <c r="F219" t="s">
        <v>43</v>
      </c>
      <c r="G219" t="s">
        <v>142</v>
      </c>
      <c r="H219">
        <v>1</v>
      </c>
      <c r="I219" s="5">
        <v>32</v>
      </c>
      <c r="J219" t="s">
        <v>38</v>
      </c>
      <c r="K219" s="5">
        <v>32</v>
      </c>
    </row>
    <row r="220" spans="1:11" x14ac:dyDescent="0.2">
      <c r="A220" t="s">
        <v>440</v>
      </c>
      <c r="B220" s="4">
        <v>46086</v>
      </c>
      <c r="C220" t="s">
        <v>361</v>
      </c>
      <c r="D220" t="s">
        <v>34</v>
      </c>
      <c r="E220" t="s">
        <v>35</v>
      </c>
      <c r="F220" t="s">
        <v>51</v>
      </c>
      <c r="G220" t="s">
        <v>55</v>
      </c>
      <c r="H220">
        <v>3</v>
      </c>
      <c r="I220" s="5">
        <v>22</v>
      </c>
      <c r="J220" t="s">
        <v>38</v>
      </c>
      <c r="K220" s="5">
        <v>66</v>
      </c>
    </row>
    <row r="221" spans="1:11" x14ac:dyDescent="0.2">
      <c r="A221" t="s">
        <v>441</v>
      </c>
      <c r="B221" s="4">
        <v>46086</v>
      </c>
      <c r="C221" t="s">
        <v>408</v>
      </c>
      <c r="D221" t="s">
        <v>58</v>
      </c>
      <c r="E221" t="s">
        <v>42</v>
      </c>
      <c r="F221" t="s">
        <v>51</v>
      </c>
      <c r="G221" t="s">
        <v>119</v>
      </c>
      <c r="H221">
        <v>1</v>
      </c>
      <c r="I221" s="5">
        <v>30</v>
      </c>
      <c r="J221" t="s">
        <v>61</v>
      </c>
      <c r="K221" s="5">
        <v>30</v>
      </c>
    </row>
    <row r="222" spans="1:11" x14ac:dyDescent="0.2">
      <c r="A222" t="s">
        <v>442</v>
      </c>
      <c r="B222" s="4">
        <v>46086</v>
      </c>
      <c r="C222" t="s">
        <v>180</v>
      </c>
      <c r="D222" t="s">
        <v>47</v>
      </c>
      <c r="E222" t="s">
        <v>35</v>
      </c>
      <c r="F222" t="s">
        <v>59</v>
      </c>
      <c r="G222" t="s">
        <v>60</v>
      </c>
      <c r="H222">
        <v>1</v>
      </c>
      <c r="I222" s="5">
        <v>120</v>
      </c>
      <c r="J222" t="s">
        <v>38</v>
      </c>
      <c r="K222" s="5">
        <v>120</v>
      </c>
    </row>
    <row r="223" spans="1:11" x14ac:dyDescent="0.2">
      <c r="A223" t="s">
        <v>443</v>
      </c>
      <c r="B223" s="4">
        <v>46086</v>
      </c>
      <c r="C223" t="s">
        <v>444</v>
      </c>
      <c r="D223" t="s">
        <v>47</v>
      </c>
      <c r="E223" t="s">
        <v>35</v>
      </c>
      <c r="F223" t="s">
        <v>51</v>
      </c>
      <c r="G223" t="s">
        <v>52</v>
      </c>
      <c r="H223">
        <v>2</v>
      </c>
      <c r="I223" s="5">
        <v>40.5</v>
      </c>
      <c r="J223" t="s">
        <v>38</v>
      </c>
      <c r="K223" s="5">
        <v>81</v>
      </c>
    </row>
    <row r="224" spans="1:11" x14ac:dyDescent="0.2">
      <c r="A224" t="s">
        <v>445</v>
      </c>
      <c r="B224" s="4">
        <v>46087</v>
      </c>
      <c r="C224" t="s">
        <v>446</v>
      </c>
      <c r="D224" t="s">
        <v>34</v>
      </c>
      <c r="E224" t="s">
        <v>42</v>
      </c>
      <c r="F224" t="s">
        <v>43</v>
      </c>
      <c r="G224" t="s">
        <v>83</v>
      </c>
      <c r="H224">
        <v>1</v>
      </c>
      <c r="I224" s="5">
        <v>39</v>
      </c>
      <c r="J224" t="s">
        <v>61</v>
      </c>
      <c r="K224" s="5">
        <v>39</v>
      </c>
    </row>
    <row r="225" spans="1:11" x14ac:dyDescent="0.2">
      <c r="A225" t="s">
        <v>447</v>
      </c>
      <c r="B225" s="4">
        <v>46088</v>
      </c>
      <c r="C225" t="s">
        <v>279</v>
      </c>
      <c r="D225" t="s">
        <v>47</v>
      </c>
      <c r="E225" t="s">
        <v>42</v>
      </c>
      <c r="F225" t="s">
        <v>71</v>
      </c>
      <c r="G225" t="s">
        <v>72</v>
      </c>
      <c r="H225">
        <v>3</v>
      </c>
      <c r="I225" s="5">
        <v>49.5</v>
      </c>
      <c r="J225" t="s">
        <v>65</v>
      </c>
      <c r="K225" s="5">
        <v>148.5</v>
      </c>
    </row>
    <row r="226" spans="1:11" x14ac:dyDescent="0.2">
      <c r="A226" t="s">
        <v>448</v>
      </c>
      <c r="B226" s="4">
        <v>46088</v>
      </c>
      <c r="C226" t="s">
        <v>449</v>
      </c>
      <c r="D226" t="s">
        <v>41</v>
      </c>
      <c r="E226" t="s">
        <v>35</v>
      </c>
      <c r="F226" t="s">
        <v>71</v>
      </c>
      <c r="G226" t="s">
        <v>137</v>
      </c>
      <c r="H226">
        <v>3</v>
      </c>
      <c r="I226" s="5">
        <v>115.5</v>
      </c>
      <c r="J226" t="s">
        <v>65</v>
      </c>
      <c r="K226" s="5">
        <v>346.5</v>
      </c>
    </row>
    <row r="227" spans="1:11" x14ac:dyDescent="0.2">
      <c r="A227" t="s">
        <v>450</v>
      </c>
      <c r="B227" s="4">
        <v>46089</v>
      </c>
      <c r="C227" t="s">
        <v>451</v>
      </c>
      <c r="D227" t="s">
        <v>41</v>
      </c>
      <c r="E227" t="s">
        <v>91</v>
      </c>
      <c r="F227" t="s">
        <v>43</v>
      </c>
      <c r="G227" t="s">
        <v>142</v>
      </c>
      <c r="H227">
        <v>5</v>
      </c>
      <c r="I227" s="5">
        <v>33.6</v>
      </c>
      <c r="J227" t="s">
        <v>65</v>
      </c>
      <c r="K227" s="5">
        <v>168</v>
      </c>
    </row>
    <row r="228" spans="1:11" x14ac:dyDescent="0.2">
      <c r="A228" t="s">
        <v>452</v>
      </c>
      <c r="B228" s="4">
        <v>46089</v>
      </c>
      <c r="C228" t="s">
        <v>271</v>
      </c>
      <c r="D228" t="s">
        <v>114</v>
      </c>
      <c r="E228" t="s">
        <v>35</v>
      </c>
      <c r="F228" t="s">
        <v>71</v>
      </c>
      <c r="G228" t="s">
        <v>95</v>
      </c>
      <c r="H228">
        <v>2</v>
      </c>
      <c r="I228" s="5">
        <v>20</v>
      </c>
      <c r="J228" t="s">
        <v>38</v>
      </c>
      <c r="K228" s="5">
        <v>40</v>
      </c>
    </row>
    <row r="229" spans="1:11" x14ac:dyDescent="0.2">
      <c r="A229" t="s">
        <v>453</v>
      </c>
      <c r="B229" s="4">
        <v>46089</v>
      </c>
      <c r="C229" t="s">
        <v>90</v>
      </c>
      <c r="D229" t="s">
        <v>41</v>
      </c>
      <c r="E229" t="s">
        <v>42</v>
      </c>
      <c r="F229" t="s">
        <v>36</v>
      </c>
      <c r="G229" t="s">
        <v>122</v>
      </c>
      <c r="H229">
        <v>2</v>
      </c>
      <c r="I229" s="5">
        <v>25</v>
      </c>
      <c r="J229" t="s">
        <v>61</v>
      </c>
      <c r="K229" s="5">
        <v>50</v>
      </c>
    </row>
    <row r="230" spans="1:11" x14ac:dyDescent="0.2">
      <c r="A230" t="s">
        <v>454</v>
      </c>
      <c r="B230" s="4">
        <v>46090</v>
      </c>
      <c r="C230" t="s">
        <v>189</v>
      </c>
      <c r="D230" t="s">
        <v>34</v>
      </c>
      <c r="E230" t="s">
        <v>42</v>
      </c>
      <c r="F230" t="s">
        <v>59</v>
      </c>
      <c r="G230" t="s">
        <v>106</v>
      </c>
      <c r="H230">
        <v>1</v>
      </c>
      <c r="I230" s="5">
        <v>29.4</v>
      </c>
      <c r="J230" t="s">
        <v>38</v>
      </c>
      <c r="K230" s="5">
        <v>29.4</v>
      </c>
    </row>
    <row r="231" spans="1:11" x14ac:dyDescent="0.2">
      <c r="A231" t="s">
        <v>455</v>
      </c>
      <c r="B231" s="4">
        <v>46090</v>
      </c>
      <c r="C231" t="s">
        <v>139</v>
      </c>
      <c r="D231" t="s">
        <v>58</v>
      </c>
      <c r="E231" t="s">
        <v>91</v>
      </c>
      <c r="F231" t="s">
        <v>36</v>
      </c>
      <c r="G231" t="s">
        <v>152</v>
      </c>
      <c r="H231">
        <v>1</v>
      </c>
      <c r="I231" s="5">
        <v>59</v>
      </c>
      <c r="J231" t="s">
        <v>38</v>
      </c>
      <c r="K231" s="5">
        <v>59</v>
      </c>
    </row>
    <row r="232" spans="1:11" x14ac:dyDescent="0.2">
      <c r="A232" t="s">
        <v>456</v>
      </c>
      <c r="B232" s="4">
        <v>46091</v>
      </c>
      <c r="C232" t="s">
        <v>352</v>
      </c>
      <c r="D232" t="s">
        <v>114</v>
      </c>
      <c r="E232" t="s">
        <v>42</v>
      </c>
      <c r="F232" t="s">
        <v>51</v>
      </c>
      <c r="G232" t="s">
        <v>99</v>
      </c>
      <c r="H232">
        <v>2</v>
      </c>
      <c r="I232" s="5">
        <v>18.899999999999999</v>
      </c>
      <c r="J232" t="s">
        <v>61</v>
      </c>
      <c r="K232" s="5">
        <v>37.799999999999997</v>
      </c>
    </row>
    <row r="233" spans="1:11" x14ac:dyDescent="0.2">
      <c r="A233" t="s">
        <v>457</v>
      </c>
      <c r="B233" s="4">
        <v>46092</v>
      </c>
      <c r="C233" t="s">
        <v>163</v>
      </c>
      <c r="D233" t="s">
        <v>34</v>
      </c>
      <c r="E233" t="s">
        <v>35</v>
      </c>
      <c r="F233" t="s">
        <v>43</v>
      </c>
      <c r="G233" t="s">
        <v>48</v>
      </c>
      <c r="H233">
        <v>1</v>
      </c>
      <c r="I233" s="5">
        <v>161.1</v>
      </c>
      <c r="J233" t="s">
        <v>38</v>
      </c>
      <c r="K233" s="5">
        <v>161.1</v>
      </c>
    </row>
    <row r="234" spans="1:11" x14ac:dyDescent="0.2">
      <c r="A234" t="s">
        <v>458</v>
      </c>
      <c r="B234" s="4">
        <v>46092</v>
      </c>
      <c r="C234" t="s">
        <v>459</v>
      </c>
      <c r="D234" t="s">
        <v>114</v>
      </c>
      <c r="E234" t="s">
        <v>35</v>
      </c>
      <c r="F234" t="s">
        <v>51</v>
      </c>
      <c r="G234" t="s">
        <v>55</v>
      </c>
      <c r="H234">
        <v>3</v>
      </c>
      <c r="I234" s="5">
        <v>22</v>
      </c>
      <c r="J234" t="s">
        <v>38</v>
      </c>
      <c r="K234" s="5">
        <v>66</v>
      </c>
    </row>
    <row r="235" spans="1:11" x14ac:dyDescent="0.2">
      <c r="A235" t="s">
        <v>460</v>
      </c>
      <c r="B235" s="4">
        <v>46092</v>
      </c>
      <c r="C235" t="s">
        <v>461</v>
      </c>
      <c r="D235" t="s">
        <v>41</v>
      </c>
      <c r="E235" t="s">
        <v>91</v>
      </c>
      <c r="F235" t="s">
        <v>59</v>
      </c>
      <c r="G235" t="s">
        <v>60</v>
      </c>
      <c r="H235">
        <v>1</v>
      </c>
      <c r="I235" s="5">
        <v>126</v>
      </c>
      <c r="J235" t="s">
        <v>38</v>
      </c>
      <c r="K235" s="5">
        <v>126</v>
      </c>
    </row>
    <row r="236" spans="1:11" x14ac:dyDescent="0.2">
      <c r="A236" t="s">
        <v>462</v>
      </c>
      <c r="B236" s="4">
        <v>46092</v>
      </c>
      <c r="C236" t="s">
        <v>463</v>
      </c>
      <c r="D236" t="s">
        <v>47</v>
      </c>
      <c r="E236" t="s">
        <v>35</v>
      </c>
      <c r="F236" t="s">
        <v>71</v>
      </c>
      <c r="G236" t="s">
        <v>88</v>
      </c>
      <c r="H236">
        <v>2</v>
      </c>
      <c r="I236" s="5">
        <v>67.5</v>
      </c>
      <c r="J236" t="s">
        <v>61</v>
      </c>
      <c r="K236" s="5">
        <v>135</v>
      </c>
    </row>
    <row r="237" spans="1:11" x14ac:dyDescent="0.2">
      <c r="A237" t="s">
        <v>464</v>
      </c>
      <c r="B237" s="4">
        <v>46092</v>
      </c>
      <c r="C237" t="s">
        <v>465</v>
      </c>
      <c r="D237" t="s">
        <v>58</v>
      </c>
      <c r="E237" t="s">
        <v>35</v>
      </c>
      <c r="F237" t="s">
        <v>59</v>
      </c>
      <c r="G237" t="s">
        <v>106</v>
      </c>
      <c r="H237">
        <v>1</v>
      </c>
      <c r="I237" s="5">
        <v>28</v>
      </c>
      <c r="J237" t="s">
        <v>61</v>
      </c>
      <c r="K237" s="5">
        <v>28</v>
      </c>
    </row>
    <row r="238" spans="1:11" x14ac:dyDescent="0.2">
      <c r="A238" t="s">
        <v>466</v>
      </c>
      <c r="B238" s="4">
        <v>46092</v>
      </c>
      <c r="C238" t="s">
        <v>467</v>
      </c>
      <c r="D238" t="s">
        <v>41</v>
      </c>
      <c r="E238" t="s">
        <v>35</v>
      </c>
      <c r="F238" t="s">
        <v>71</v>
      </c>
      <c r="G238" t="s">
        <v>72</v>
      </c>
      <c r="H238">
        <v>1</v>
      </c>
      <c r="I238" s="5">
        <v>55</v>
      </c>
      <c r="J238" t="s">
        <v>38</v>
      </c>
      <c r="K238" s="5">
        <v>55</v>
      </c>
    </row>
    <row r="239" spans="1:11" x14ac:dyDescent="0.2">
      <c r="A239" t="s">
        <v>468</v>
      </c>
      <c r="B239" s="4">
        <v>46092</v>
      </c>
      <c r="C239" t="s">
        <v>178</v>
      </c>
      <c r="D239" t="s">
        <v>58</v>
      </c>
      <c r="E239" t="s">
        <v>35</v>
      </c>
      <c r="F239" t="s">
        <v>71</v>
      </c>
      <c r="G239" t="s">
        <v>72</v>
      </c>
      <c r="H239">
        <v>1</v>
      </c>
      <c r="I239" s="5">
        <v>55</v>
      </c>
      <c r="J239" t="s">
        <v>38</v>
      </c>
      <c r="K239" s="5">
        <v>55</v>
      </c>
    </row>
    <row r="240" spans="1:11" x14ac:dyDescent="0.2">
      <c r="A240" t="s">
        <v>469</v>
      </c>
      <c r="B240" s="4">
        <v>46093</v>
      </c>
      <c r="C240" t="s">
        <v>271</v>
      </c>
      <c r="D240" t="s">
        <v>58</v>
      </c>
      <c r="E240" t="s">
        <v>42</v>
      </c>
      <c r="F240" t="s">
        <v>51</v>
      </c>
      <c r="G240" t="s">
        <v>99</v>
      </c>
      <c r="H240">
        <v>1</v>
      </c>
      <c r="I240" s="5">
        <v>18</v>
      </c>
      <c r="J240" t="s">
        <v>38</v>
      </c>
      <c r="K240" s="5">
        <v>18</v>
      </c>
    </row>
    <row r="241" spans="1:11" x14ac:dyDescent="0.2">
      <c r="A241" t="s">
        <v>470</v>
      </c>
      <c r="B241" s="4">
        <v>46093</v>
      </c>
      <c r="C241" t="s">
        <v>314</v>
      </c>
      <c r="D241" t="s">
        <v>58</v>
      </c>
      <c r="E241" t="s">
        <v>42</v>
      </c>
      <c r="F241" t="s">
        <v>36</v>
      </c>
      <c r="G241" t="s">
        <v>85</v>
      </c>
      <c r="H241">
        <v>3</v>
      </c>
      <c r="I241" s="5">
        <v>93.45</v>
      </c>
      <c r="J241" t="s">
        <v>38</v>
      </c>
      <c r="K241" s="5">
        <v>280.35000000000002</v>
      </c>
    </row>
    <row r="242" spans="1:11" x14ac:dyDescent="0.2">
      <c r="A242" t="s">
        <v>471</v>
      </c>
      <c r="B242" s="4">
        <v>46094</v>
      </c>
      <c r="C242" t="s">
        <v>472</v>
      </c>
      <c r="D242" t="s">
        <v>47</v>
      </c>
      <c r="E242" t="s">
        <v>35</v>
      </c>
      <c r="F242" t="s">
        <v>36</v>
      </c>
      <c r="G242" t="s">
        <v>37</v>
      </c>
      <c r="H242">
        <v>1</v>
      </c>
      <c r="I242" s="5">
        <v>31.5</v>
      </c>
      <c r="J242" t="s">
        <v>38</v>
      </c>
      <c r="K242" s="5">
        <v>31.5</v>
      </c>
    </row>
    <row r="243" spans="1:11" x14ac:dyDescent="0.2">
      <c r="A243" t="s">
        <v>473</v>
      </c>
      <c r="B243" s="4">
        <v>46094</v>
      </c>
      <c r="C243" t="s">
        <v>238</v>
      </c>
      <c r="D243" t="s">
        <v>41</v>
      </c>
      <c r="E243" t="s">
        <v>91</v>
      </c>
      <c r="F243" t="s">
        <v>71</v>
      </c>
      <c r="G243" t="s">
        <v>95</v>
      </c>
      <c r="H243">
        <v>1</v>
      </c>
      <c r="I243" s="5">
        <v>21</v>
      </c>
      <c r="J243" t="s">
        <v>38</v>
      </c>
      <c r="K243" s="5">
        <v>21</v>
      </c>
    </row>
    <row r="244" spans="1:11" x14ac:dyDescent="0.2">
      <c r="A244" t="s">
        <v>474</v>
      </c>
      <c r="B244" s="4">
        <v>46094</v>
      </c>
      <c r="C244" t="s">
        <v>475</v>
      </c>
      <c r="D244" t="s">
        <v>58</v>
      </c>
      <c r="E244" t="s">
        <v>91</v>
      </c>
      <c r="F244" t="s">
        <v>43</v>
      </c>
      <c r="G244" t="s">
        <v>48</v>
      </c>
      <c r="H244">
        <v>4</v>
      </c>
      <c r="I244" s="5">
        <v>179</v>
      </c>
      <c r="J244" t="s">
        <v>61</v>
      </c>
      <c r="K244" s="5">
        <v>716</v>
      </c>
    </row>
    <row r="245" spans="1:11" x14ac:dyDescent="0.2">
      <c r="A245" t="s">
        <v>476</v>
      </c>
      <c r="B245" s="4">
        <v>46095</v>
      </c>
      <c r="C245" t="s">
        <v>367</v>
      </c>
      <c r="D245" t="s">
        <v>47</v>
      </c>
      <c r="E245" t="s">
        <v>35</v>
      </c>
      <c r="F245" t="s">
        <v>36</v>
      </c>
      <c r="G245" t="s">
        <v>85</v>
      </c>
      <c r="H245">
        <v>4</v>
      </c>
      <c r="I245" s="5">
        <v>89</v>
      </c>
      <c r="J245" t="s">
        <v>61</v>
      </c>
      <c r="K245" s="5">
        <v>356</v>
      </c>
    </row>
    <row r="246" spans="1:11" x14ac:dyDescent="0.2">
      <c r="A246" t="s">
        <v>477</v>
      </c>
      <c r="B246" s="4">
        <v>46095</v>
      </c>
      <c r="C246" t="s">
        <v>180</v>
      </c>
      <c r="D246" t="s">
        <v>58</v>
      </c>
      <c r="E246" t="s">
        <v>35</v>
      </c>
      <c r="F246" t="s">
        <v>43</v>
      </c>
      <c r="G246" t="s">
        <v>44</v>
      </c>
      <c r="H246">
        <v>2</v>
      </c>
      <c r="I246" s="5">
        <v>99</v>
      </c>
      <c r="J246" t="s">
        <v>38</v>
      </c>
      <c r="K246" s="5">
        <v>198</v>
      </c>
    </row>
    <row r="247" spans="1:11" x14ac:dyDescent="0.2">
      <c r="A247" t="s">
        <v>478</v>
      </c>
      <c r="B247" s="4">
        <v>46095</v>
      </c>
      <c r="C247" t="s">
        <v>167</v>
      </c>
      <c r="D247" t="s">
        <v>58</v>
      </c>
      <c r="E247" t="s">
        <v>91</v>
      </c>
      <c r="F247" t="s">
        <v>36</v>
      </c>
      <c r="G247" t="s">
        <v>122</v>
      </c>
      <c r="H247">
        <v>2</v>
      </c>
      <c r="I247" s="5">
        <v>22.5</v>
      </c>
      <c r="J247" t="s">
        <v>61</v>
      </c>
      <c r="K247" s="5">
        <v>45</v>
      </c>
    </row>
    <row r="248" spans="1:11" x14ac:dyDescent="0.2">
      <c r="A248" t="s">
        <v>479</v>
      </c>
      <c r="B248" s="4">
        <v>46095</v>
      </c>
      <c r="C248" t="s">
        <v>271</v>
      </c>
      <c r="D248" t="s">
        <v>41</v>
      </c>
      <c r="E248" t="s">
        <v>91</v>
      </c>
      <c r="F248" t="s">
        <v>51</v>
      </c>
      <c r="G248" t="s">
        <v>52</v>
      </c>
      <c r="H248">
        <v>2</v>
      </c>
      <c r="I248" s="5">
        <v>45</v>
      </c>
      <c r="J248" t="s">
        <v>38</v>
      </c>
      <c r="K248" s="5">
        <v>90</v>
      </c>
    </row>
    <row r="249" spans="1:11" x14ac:dyDescent="0.2">
      <c r="A249" t="s">
        <v>480</v>
      </c>
      <c r="B249" s="4">
        <v>46096</v>
      </c>
      <c r="C249" t="s">
        <v>169</v>
      </c>
      <c r="D249" t="s">
        <v>41</v>
      </c>
      <c r="E249" t="s">
        <v>42</v>
      </c>
      <c r="F249" t="s">
        <v>43</v>
      </c>
      <c r="G249" t="s">
        <v>44</v>
      </c>
      <c r="H249">
        <v>4</v>
      </c>
      <c r="I249" s="5">
        <v>99</v>
      </c>
      <c r="J249" t="s">
        <v>38</v>
      </c>
      <c r="K249" s="5">
        <v>396</v>
      </c>
    </row>
    <row r="250" spans="1:11" x14ac:dyDescent="0.2">
      <c r="A250" t="s">
        <v>481</v>
      </c>
      <c r="B250" s="4">
        <v>46097</v>
      </c>
      <c r="C250" t="s">
        <v>129</v>
      </c>
      <c r="D250" t="s">
        <v>41</v>
      </c>
      <c r="E250" t="s">
        <v>35</v>
      </c>
      <c r="F250" t="s">
        <v>36</v>
      </c>
      <c r="G250" t="s">
        <v>37</v>
      </c>
      <c r="H250">
        <v>1</v>
      </c>
      <c r="I250" s="5">
        <v>35</v>
      </c>
      <c r="J250" t="s">
        <v>38</v>
      </c>
      <c r="K250" s="5">
        <v>35</v>
      </c>
    </row>
    <row r="251" spans="1:11" x14ac:dyDescent="0.2">
      <c r="A251" t="s">
        <v>482</v>
      </c>
      <c r="B251" s="4">
        <v>46097</v>
      </c>
      <c r="C251" t="s">
        <v>483</v>
      </c>
      <c r="D251" t="s">
        <v>41</v>
      </c>
      <c r="E251" t="s">
        <v>91</v>
      </c>
      <c r="F251" t="s">
        <v>59</v>
      </c>
      <c r="G251" t="s">
        <v>64</v>
      </c>
      <c r="H251">
        <v>4</v>
      </c>
      <c r="I251" s="5">
        <v>18.899999999999999</v>
      </c>
      <c r="J251" t="s">
        <v>61</v>
      </c>
      <c r="K251" s="5">
        <v>75.599999999999994</v>
      </c>
    </row>
    <row r="252" spans="1:11" x14ac:dyDescent="0.2">
      <c r="A252" t="s">
        <v>484</v>
      </c>
      <c r="B252" s="4">
        <v>46098</v>
      </c>
      <c r="C252" t="s">
        <v>485</v>
      </c>
      <c r="D252" t="s">
        <v>47</v>
      </c>
      <c r="E252" t="s">
        <v>35</v>
      </c>
      <c r="F252" t="s">
        <v>71</v>
      </c>
      <c r="G252" t="s">
        <v>72</v>
      </c>
      <c r="H252">
        <v>3</v>
      </c>
      <c r="I252" s="5">
        <v>49.5</v>
      </c>
      <c r="J252" t="s">
        <v>38</v>
      </c>
      <c r="K252" s="5">
        <v>148.5</v>
      </c>
    </row>
    <row r="253" spans="1:11" x14ac:dyDescent="0.2">
      <c r="A253" t="s">
        <v>486</v>
      </c>
      <c r="B253" s="4">
        <v>46098</v>
      </c>
      <c r="C253" t="s">
        <v>154</v>
      </c>
      <c r="D253" t="s">
        <v>58</v>
      </c>
      <c r="E253" t="s">
        <v>35</v>
      </c>
      <c r="F253" t="s">
        <v>43</v>
      </c>
      <c r="G253" t="s">
        <v>77</v>
      </c>
      <c r="H253">
        <v>4</v>
      </c>
      <c r="I253" s="5">
        <v>45</v>
      </c>
      <c r="J253" t="s">
        <v>38</v>
      </c>
      <c r="K253" s="5">
        <v>180</v>
      </c>
    </row>
    <row r="254" spans="1:11" x14ac:dyDescent="0.2">
      <c r="A254" t="s">
        <v>487</v>
      </c>
      <c r="B254" s="4">
        <v>46098</v>
      </c>
      <c r="C254" t="s">
        <v>318</v>
      </c>
      <c r="D254" t="s">
        <v>47</v>
      </c>
      <c r="E254" t="s">
        <v>35</v>
      </c>
      <c r="F254" t="s">
        <v>43</v>
      </c>
      <c r="G254" t="s">
        <v>142</v>
      </c>
      <c r="H254">
        <v>2</v>
      </c>
      <c r="I254" s="5">
        <v>32</v>
      </c>
      <c r="J254" t="s">
        <v>38</v>
      </c>
      <c r="K254" s="5">
        <v>64</v>
      </c>
    </row>
    <row r="255" spans="1:11" x14ac:dyDescent="0.2">
      <c r="A255" t="s">
        <v>488</v>
      </c>
      <c r="B255" s="4">
        <v>46099</v>
      </c>
      <c r="C255" t="s">
        <v>250</v>
      </c>
      <c r="D255" t="s">
        <v>58</v>
      </c>
      <c r="E255" t="s">
        <v>35</v>
      </c>
      <c r="F255" t="s">
        <v>71</v>
      </c>
      <c r="G255" t="s">
        <v>92</v>
      </c>
      <c r="H255">
        <v>1</v>
      </c>
      <c r="I255" s="5">
        <v>65</v>
      </c>
      <c r="J255" t="s">
        <v>38</v>
      </c>
      <c r="K255" s="5">
        <v>65</v>
      </c>
    </row>
    <row r="256" spans="1:11" x14ac:dyDescent="0.2">
      <c r="A256" t="s">
        <v>489</v>
      </c>
      <c r="B256" s="4">
        <v>46099</v>
      </c>
      <c r="C256" t="s">
        <v>263</v>
      </c>
      <c r="D256" t="s">
        <v>41</v>
      </c>
      <c r="E256" t="s">
        <v>42</v>
      </c>
      <c r="F256" t="s">
        <v>51</v>
      </c>
      <c r="G256" t="s">
        <v>55</v>
      </c>
      <c r="H256">
        <v>2</v>
      </c>
      <c r="I256" s="5">
        <v>19.8</v>
      </c>
      <c r="J256" t="s">
        <v>38</v>
      </c>
      <c r="K256" s="5">
        <v>39.6</v>
      </c>
    </row>
    <row r="257" spans="1:11" x14ac:dyDescent="0.2">
      <c r="A257" t="s">
        <v>490</v>
      </c>
      <c r="B257" s="4">
        <v>46099</v>
      </c>
      <c r="C257" t="s">
        <v>399</v>
      </c>
      <c r="D257" t="s">
        <v>47</v>
      </c>
      <c r="E257" t="s">
        <v>42</v>
      </c>
      <c r="F257" t="s">
        <v>71</v>
      </c>
      <c r="G257" t="s">
        <v>92</v>
      </c>
      <c r="H257">
        <v>1</v>
      </c>
      <c r="I257" s="5">
        <v>68.25</v>
      </c>
      <c r="J257" t="s">
        <v>38</v>
      </c>
      <c r="K257" s="5">
        <v>68.25</v>
      </c>
    </row>
    <row r="258" spans="1:11" x14ac:dyDescent="0.2">
      <c r="A258" t="s">
        <v>491</v>
      </c>
      <c r="B258" s="4">
        <v>46100</v>
      </c>
      <c r="C258" t="s">
        <v>129</v>
      </c>
      <c r="D258" t="s">
        <v>41</v>
      </c>
      <c r="E258" t="s">
        <v>35</v>
      </c>
      <c r="F258" t="s">
        <v>71</v>
      </c>
      <c r="G258" t="s">
        <v>137</v>
      </c>
      <c r="H258">
        <v>1</v>
      </c>
      <c r="I258" s="5">
        <v>110</v>
      </c>
      <c r="J258" t="s">
        <v>61</v>
      </c>
      <c r="K258" s="5">
        <v>110</v>
      </c>
    </row>
    <row r="259" spans="1:11" x14ac:dyDescent="0.2">
      <c r="A259" t="s">
        <v>492</v>
      </c>
      <c r="B259" s="4">
        <v>46100</v>
      </c>
      <c r="C259" t="s">
        <v>392</v>
      </c>
      <c r="D259" t="s">
        <v>47</v>
      </c>
      <c r="E259" t="s">
        <v>35</v>
      </c>
      <c r="F259" t="s">
        <v>71</v>
      </c>
      <c r="G259" t="s">
        <v>72</v>
      </c>
      <c r="H259">
        <v>5</v>
      </c>
      <c r="I259" s="5">
        <v>55</v>
      </c>
      <c r="J259" t="s">
        <v>38</v>
      </c>
      <c r="K259" s="5">
        <v>275</v>
      </c>
    </row>
    <row r="260" spans="1:11" x14ac:dyDescent="0.2">
      <c r="A260" t="s">
        <v>493</v>
      </c>
      <c r="B260" s="4">
        <v>46100</v>
      </c>
      <c r="C260" t="s">
        <v>163</v>
      </c>
      <c r="D260" t="s">
        <v>34</v>
      </c>
      <c r="E260" t="s">
        <v>35</v>
      </c>
      <c r="F260" t="s">
        <v>51</v>
      </c>
      <c r="G260" t="s">
        <v>155</v>
      </c>
      <c r="H260">
        <v>1</v>
      </c>
      <c r="I260" s="5">
        <v>60</v>
      </c>
      <c r="J260" t="s">
        <v>38</v>
      </c>
      <c r="K260" s="5">
        <v>60</v>
      </c>
    </row>
    <row r="261" spans="1:11" x14ac:dyDescent="0.2">
      <c r="A261" t="s">
        <v>494</v>
      </c>
      <c r="B261" s="4">
        <v>46101</v>
      </c>
      <c r="C261" t="s">
        <v>485</v>
      </c>
      <c r="D261" t="s">
        <v>47</v>
      </c>
      <c r="E261" t="s">
        <v>91</v>
      </c>
      <c r="F261" t="s">
        <v>43</v>
      </c>
      <c r="G261" t="s">
        <v>44</v>
      </c>
      <c r="H261">
        <v>3</v>
      </c>
      <c r="I261" s="5">
        <v>103.95</v>
      </c>
      <c r="J261" t="s">
        <v>38</v>
      </c>
      <c r="K261" s="5">
        <v>311.85000000000002</v>
      </c>
    </row>
    <row r="262" spans="1:11" x14ac:dyDescent="0.2">
      <c r="A262" t="s">
        <v>495</v>
      </c>
      <c r="B262" s="4">
        <v>46101</v>
      </c>
      <c r="C262" t="s">
        <v>496</v>
      </c>
      <c r="D262" t="s">
        <v>47</v>
      </c>
      <c r="E262" t="s">
        <v>35</v>
      </c>
      <c r="F262" t="s">
        <v>71</v>
      </c>
      <c r="G262" t="s">
        <v>92</v>
      </c>
      <c r="H262">
        <v>1</v>
      </c>
      <c r="I262" s="5">
        <v>65</v>
      </c>
      <c r="J262" t="s">
        <v>38</v>
      </c>
      <c r="K262" s="5">
        <v>65</v>
      </c>
    </row>
    <row r="263" spans="1:11" x14ac:dyDescent="0.2">
      <c r="A263" t="s">
        <v>497</v>
      </c>
      <c r="B263" s="4">
        <v>46101</v>
      </c>
      <c r="C263" t="s">
        <v>498</v>
      </c>
      <c r="D263" t="s">
        <v>47</v>
      </c>
      <c r="E263" t="s">
        <v>91</v>
      </c>
      <c r="F263" t="s">
        <v>71</v>
      </c>
      <c r="G263" t="s">
        <v>92</v>
      </c>
      <c r="H263">
        <v>1</v>
      </c>
      <c r="I263" s="5">
        <v>68.25</v>
      </c>
      <c r="J263" t="s">
        <v>38</v>
      </c>
      <c r="K263" s="5">
        <v>68.25</v>
      </c>
    </row>
    <row r="264" spans="1:11" x14ac:dyDescent="0.2">
      <c r="A264" t="s">
        <v>499</v>
      </c>
      <c r="B264" s="4">
        <v>46102</v>
      </c>
      <c r="C264" t="s">
        <v>343</v>
      </c>
      <c r="D264" t="s">
        <v>41</v>
      </c>
      <c r="E264" t="s">
        <v>35</v>
      </c>
      <c r="F264" t="s">
        <v>71</v>
      </c>
      <c r="G264" t="s">
        <v>72</v>
      </c>
      <c r="H264">
        <v>4</v>
      </c>
      <c r="I264" s="5">
        <v>55</v>
      </c>
      <c r="J264" t="s">
        <v>38</v>
      </c>
      <c r="K264" s="5">
        <v>220</v>
      </c>
    </row>
    <row r="265" spans="1:11" x14ac:dyDescent="0.2">
      <c r="A265" t="s">
        <v>500</v>
      </c>
      <c r="B265" s="4">
        <v>46102</v>
      </c>
      <c r="C265" t="s">
        <v>501</v>
      </c>
      <c r="D265" t="s">
        <v>47</v>
      </c>
      <c r="E265" t="s">
        <v>42</v>
      </c>
      <c r="F265" t="s">
        <v>59</v>
      </c>
      <c r="G265" t="s">
        <v>111</v>
      </c>
      <c r="H265">
        <v>2</v>
      </c>
      <c r="I265" s="5">
        <v>75</v>
      </c>
      <c r="J265" t="s">
        <v>38</v>
      </c>
      <c r="K265" s="5">
        <v>150</v>
      </c>
    </row>
    <row r="266" spans="1:11" x14ac:dyDescent="0.2">
      <c r="A266" t="s">
        <v>502</v>
      </c>
      <c r="B266" s="4">
        <v>46102</v>
      </c>
      <c r="C266" t="s">
        <v>503</v>
      </c>
      <c r="D266" t="s">
        <v>47</v>
      </c>
      <c r="E266" t="s">
        <v>35</v>
      </c>
      <c r="F266" t="s">
        <v>43</v>
      </c>
      <c r="G266" t="s">
        <v>44</v>
      </c>
      <c r="H266">
        <v>2</v>
      </c>
      <c r="I266" s="5">
        <v>99</v>
      </c>
      <c r="J266" t="s">
        <v>38</v>
      </c>
      <c r="K266" s="5">
        <v>198</v>
      </c>
    </row>
    <row r="267" spans="1:11" x14ac:dyDescent="0.2">
      <c r="A267" t="s">
        <v>504</v>
      </c>
      <c r="B267" s="4">
        <v>46103</v>
      </c>
      <c r="C267" t="s">
        <v>505</v>
      </c>
      <c r="D267" t="s">
        <v>58</v>
      </c>
      <c r="E267" t="s">
        <v>35</v>
      </c>
      <c r="F267" t="s">
        <v>43</v>
      </c>
      <c r="G267" t="s">
        <v>142</v>
      </c>
      <c r="H267">
        <v>1</v>
      </c>
      <c r="I267" s="5">
        <v>28.8</v>
      </c>
      <c r="J267" t="s">
        <v>38</v>
      </c>
      <c r="K267" s="5">
        <v>28.8</v>
      </c>
    </row>
    <row r="268" spans="1:11" x14ac:dyDescent="0.2">
      <c r="A268" t="s">
        <v>506</v>
      </c>
      <c r="B268" s="4">
        <v>46103</v>
      </c>
      <c r="C268" t="s">
        <v>507</v>
      </c>
      <c r="D268" t="s">
        <v>114</v>
      </c>
      <c r="E268" t="s">
        <v>91</v>
      </c>
      <c r="F268" t="s">
        <v>59</v>
      </c>
      <c r="G268" t="s">
        <v>111</v>
      </c>
      <c r="H268">
        <v>2</v>
      </c>
      <c r="I268" s="5">
        <v>78.75</v>
      </c>
      <c r="J268" t="s">
        <v>38</v>
      </c>
      <c r="K268" s="5">
        <v>157.5</v>
      </c>
    </row>
    <row r="269" spans="1:11" x14ac:dyDescent="0.2">
      <c r="A269" t="s">
        <v>508</v>
      </c>
      <c r="B269" s="4">
        <v>46103</v>
      </c>
      <c r="C269" t="s">
        <v>436</v>
      </c>
      <c r="D269" t="s">
        <v>47</v>
      </c>
      <c r="E269" t="s">
        <v>91</v>
      </c>
      <c r="F269" t="s">
        <v>36</v>
      </c>
      <c r="G269" t="s">
        <v>152</v>
      </c>
      <c r="H269">
        <v>1</v>
      </c>
      <c r="I269" s="5">
        <v>59</v>
      </c>
      <c r="J269" t="s">
        <v>38</v>
      </c>
      <c r="K269" s="5">
        <v>59</v>
      </c>
    </row>
    <row r="270" spans="1:11" x14ac:dyDescent="0.2">
      <c r="A270" t="s">
        <v>509</v>
      </c>
      <c r="B270" s="4">
        <v>46103</v>
      </c>
      <c r="C270" t="s">
        <v>303</v>
      </c>
      <c r="D270" t="s">
        <v>114</v>
      </c>
      <c r="E270" t="s">
        <v>42</v>
      </c>
      <c r="F270" t="s">
        <v>59</v>
      </c>
      <c r="G270" t="s">
        <v>80</v>
      </c>
      <c r="H270">
        <v>2</v>
      </c>
      <c r="I270" s="5">
        <v>35</v>
      </c>
      <c r="J270" t="s">
        <v>61</v>
      </c>
      <c r="K270" s="5">
        <v>70</v>
      </c>
    </row>
    <row r="271" spans="1:11" x14ac:dyDescent="0.2">
      <c r="A271" t="s">
        <v>510</v>
      </c>
      <c r="B271" s="4">
        <v>46104</v>
      </c>
      <c r="C271" t="s">
        <v>507</v>
      </c>
      <c r="D271" t="s">
        <v>34</v>
      </c>
      <c r="E271" t="s">
        <v>35</v>
      </c>
      <c r="F271" t="s">
        <v>51</v>
      </c>
      <c r="G271" t="s">
        <v>155</v>
      </c>
      <c r="H271">
        <v>3</v>
      </c>
      <c r="I271" s="5">
        <v>60</v>
      </c>
      <c r="J271" t="s">
        <v>38</v>
      </c>
      <c r="K271" s="5">
        <v>180</v>
      </c>
    </row>
    <row r="272" spans="1:11" x14ac:dyDescent="0.2">
      <c r="A272" t="s">
        <v>511</v>
      </c>
      <c r="B272" s="4">
        <v>46104</v>
      </c>
      <c r="C272" t="s">
        <v>134</v>
      </c>
      <c r="D272" t="s">
        <v>34</v>
      </c>
      <c r="E272" t="s">
        <v>35</v>
      </c>
      <c r="F272" t="s">
        <v>71</v>
      </c>
      <c r="G272" t="s">
        <v>72</v>
      </c>
      <c r="H272">
        <v>3</v>
      </c>
      <c r="I272" s="5">
        <v>57.75</v>
      </c>
      <c r="J272" t="s">
        <v>65</v>
      </c>
      <c r="K272" s="5">
        <v>173.25</v>
      </c>
    </row>
    <row r="273" spans="1:11" x14ac:dyDescent="0.2">
      <c r="A273" t="s">
        <v>512</v>
      </c>
      <c r="B273" s="4">
        <v>46104</v>
      </c>
      <c r="C273" t="s">
        <v>221</v>
      </c>
      <c r="D273" t="s">
        <v>47</v>
      </c>
      <c r="E273" t="s">
        <v>91</v>
      </c>
      <c r="F273" t="s">
        <v>36</v>
      </c>
      <c r="G273" t="s">
        <v>68</v>
      </c>
      <c r="H273">
        <v>1</v>
      </c>
      <c r="I273" s="5">
        <v>53.1</v>
      </c>
      <c r="J273" t="s">
        <v>65</v>
      </c>
      <c r="K273" s="5">
        <v>53.1</v>
      </c>
    </row>
    <row r="274" spans="1:11" x14ac:dyDescent="0.2">
      <c r="A274" t="s">
        <v>514</v>
      </c>
      <c r="B274" s="4">
        <v>46104</v>
      </c>
      <c r="C274" t="s">
        <v>176</v>
      </c>
      <c r="D274" t="s">
        <v>114</v>
      </c>
      <c r="E274" t="s">
        <v>35</v>
      </c>
      <c r="F274" t="s">
        <v>71</v>
      </c>
      <c r="G274" t="s">
        <v>92</v>
      </c>
      <c r="H274">
        <v>4</v>
      </c>
      <c r="I274" s="5">
        <v>65</v>
      </c>
      <c r="J274" t="s">
        <v>61</v>
      </c>
      <c r="K274" s="5">
        <v>260</v>
      </c>
    </row>
    <row r="275" spans="1:11" x14ac:dyDescent="0.2">
      <c r="A275" t="s">
        <v>515</v>
      </c>
      <c r="B275" s="4">
        <v>46104</v>
      </c>
      <c r="C275" t="s">
        <v>243</v>
      </c>
      <c r="D275" t="s">
        <v>34</v>
      </c>
      <c r="E275" t="s">
        <v>35</v>
      </c>
      <c r="F275" t="s">
        <v>43</v>
      </c>
      <c r="G275" t="s">
        <v>83</v>
      </c>
      <c r="H275">
        <v>2</v>
      </c>
      <c r="I275" s="5">
        <v>39</v>
      </c>
      <c r="J275" t="s">
        <v>61</v>
      </c>
      <c r="K275" s="5">
        <v>78</v>
      </c>
    </row>
    <row r="276" spans="1:11" x14ac:dyDescent="0.2">
      <c r="A276" t="s">
        <v>516</v>
      </c>
      <c r="B276" s="4">
        <v>46105</v>
      </c>
      <c r="C276" t="s">
        <v>333</v>
      </c>
      <c r="D276" t="s">
        <v>41</v>
      </c>
      <c r="E276" t="s">
        <v>35</v>
      </c>
      <c r="F276" t="s">
        <v>36</v>
      </c>
      <c r="G276" t="s">
        <v>68</v>
      </c>
      <c r="H276">
        <v>1</v>
      </c>
      <c r="I276" s="5">
        <v>79</v>
      </c>
      <c r="J276" t="s">
        <v>61</v>
      </c>
      <c r="K276" s="5">
        <v>79</v>
      </c>
    </row>
    <row r="277" spans="1:11" x14ac:dyDescent="0.2">
      <c r="A277" t="s">
        <v>517</v>
      </c>
      <c r="B277" s="4">
        <v>46106</v>
      </c>
      <c r="C277" t="s">
        <v>283</v>
      </c>
      <c r="D277" t="s">
        <v>47</v>
      </c>
      <c r="E277" t="s">
        <v>42</v>
      </c>
      <c r="F277" t="s">
        <v>43</v>
      </c>
      <c r="G277" t="s">
        <v>44</v>
      </c>
      <c r="H277">
        <v>2</v>
      </c>
      <c r="I277" s="5">
        <v>99</v>
      </c>
      <c r="J277" t="s">
        <v>38</v>
      </c>
      <c r="K277" s="5">
        <v>198</v>
      </c>
    </row>
    <row r="278" spans="1:11" x14ac:dyDescent="0.2">
      <c r="A278" t="s">
        <v>518</v>
      </c>
      <c r="B278" s="4">
        <v>46106</v>
      </c>
      <c r="C278" t="s">
        <v>187</v>
      </c>
      <c r="D278" t="s">
        <v>58</v>
      </c>
      <c r="E278" t="s">
        <v>42</v>
      </c>
      <c r="F278" t="s">
        <v>43</v>
      </c>
      <c r="G278" t="s">
        <v>48</v>
      </c>
      <c r="H278">
        <v>2</v>
      </c>
      <c r="I278" s="5">
        <v>179</v>
      </c>
      <c r="J278" t="s">
        <v>61</v>
      </c>
      <c r="K278" s="5">
        <v>358</v>
      </c>
    </row>
    <row r="279" spans="1:11" x14ac:dyDescent="0.2">
      <c r="A279" t="s">
        <v>519</v>
      </c>
      <c r="B279" s="4">
        <v>46106</v>
      </c>
      <c r="C279" t="s">
        <v>214</v>
      </c>
      <c r="D279" t="s">
        <v>47</v>
      </c>
      <c r="E279" t="s">
        <v>42</v>
      </c>
      <c r="F279" t="s">
        <v>43</v>
      </c>
      <c r="G279" t="s">
        <v>77</v>
      </c>
      <c r="H279">
        <v>1</v>
      </c>
      <c r="I279" s="5">
        <v>45</v>
      </c>
      <c r="J279" t="s">
        <v>38</v>
      </c>
      <c r="K279" s="5">
        <v>45</v>
      </c>
    </row>
    <row r="280" spans="1:11" x14ac:dyDescent="0.2">
      <c r="A280" t="s">
        <v>520</v>
      </c>
      <c r="B280" s="4">
        <v>46106</v>
      </c>
      <c r="C280" t="s">
        <v>507</v>
      </c>
      <c r="D280" t="s">
        <v>114</v>
      </c>
      <c r="E280" t="s">
        <v>35</v>
      </c>
      <c r="F280" t="s">
        <v>59</v>
      </c>
      <c r="G280" t="s">
        <v>64</v>
      </c>
      <c r="H280">
        <v>1</v>
      </c>
      <c r="I280" s="5">
        <v>18.899999999999999</v>
      </c>
      <c r="J280" t="s">
        <v>61</v>
      </c>
      <c r="K280" s="5">
        <v>18.899999999999999</v>
      </c>
    </row>
    <row r="281" spans="1:11" x14ac:dyDescent="0.2">
      <c r="A281" t="s">
        <v>521</v>
      </c>
      <c r="B281" s="4">
        <v>46106</v>
      </c>
      <c r="C281" t="s">
        <v>397</v>
      </c>
      <c r="D281" t="s">
        <v>47</v>
      </c>
      <c r="E281" t="s">
        <v>35</v>
      </c>
      <c r="F281" t="s">
        <v>51</v>
      </c>
      <c r="G281" t="s">
        <v>155</v>
      </c>
      <c r="H281">
        <v>1</v>
      </c>
      <c r="I281" s="5">
        <v>54</v>
      </c>
      <c r="J281" t="s">
        <v>38</v>
      </c>
      <c r="K281" s="5">
        <v>54</v>
      </c>
    </row>
    <row r="282" spans="1:11" x14ac:dyDescent="0.2">
      <c r="A282" t="s">
        <v>522</v>
      </c>
      <c r="B282" s="4">
        <v>46106</v>
      </c>
      <c r="C282" t="s">
        <v>379</v>
      </c>
      <c r="D282" t="s">
        <v>47</v>
      </c>
      <c r="E282" t="s">
        <v>42</v>
      </c>
      <c r="F282" t="s">
        <v>51</v>
      </c>
      <c r="G282" t="s">
        <v>99</v>
      </c>
      <c r="H282">
        <v>2</v>
      </c>
      <c r="I282" s="5">
        <v>16.2</v>
      </c>
      <c r="J282" t="s">
        <v>38</v>
      </c>
      <c r="K282" s="5">
        <v>32.4</v>
      </c>
    </row>
    <row r="283" spans="1:11" x14ac:dyDescent="0.2">
      <c r="A283" t="s">
        <v>523</v>
      </c>
      <c r="B283" s="4">
        <v>46106</v>
      </c>
      <c r="C283" t="s">
        <v>139</v>
      </c>
      <c r="D283" t="s">
        <v>41</v>
      </c>
      <c r="E283" t="s">
        <v>42</v>
      </c>
      <c r="F283" t="s">
        <v>43</v>
      </c>
      <c r="G283" t="s">
        <v>48</v>
      </c>
      <c r="H283">
        <v>1</v>
      </c>
      <c r="I283" s="5">
        <v>187.95</v>
      </c>
      <c r="J283" t="s">
        <v>65</v>
      </c>
      <c r="K283" s="5">
        <v>187.95</v>
      </c>
    </row>
    <row r="284" spans="1:11" x14ac:dyDescent="0.2">
      <c r="A284" t="s">
        <v>524</v>
      </c>
      <c r="B284" s="4">
        <v>46107</v>
      </c>
      <c r="C284" t="s">
        <v>525</v>
      </c>
      <c r="D284" t="s">
        <v>34</v>
      </c>
      <c r="E284" t="s">
        <v>35</v>
      </c>
      <c r="F284" t="s">
        <v>51</v>
      </c>
      <c r="G284" t="s">
        <v>119</v>
      </c>
      <c r="H284">
        <v>5</v>
      </c>
      <c r="I284" s="5">
        <v>30</v>
      </c>
      <c r="J284" t="s">
        <v>38</v>
      </c>
      <c r="K284" s="5">
        <v>150</v>
      </c>
    </row>
    <row r="285" spans="1:11" x14ac:dyDescent="0.2">
      <c r="A285" t="s">
        <v>526</v>
      </c>
      <c r="B285" s="4">
        <v>46107</v>
      </c>
      <c r="C285" t="s">
        <v>275</v>
      </c>
      <c r="D285" t="s">
        <v>47</v>
      </c>
      <c r="E285" t="s">
        <v>35</v>
      </c>
      <c r="F285" t="s">
        <v>51</v>
      </c>
      <c r="G285" t="s">
        <v>99</v>
      </c>
      <c r="H285">
        <v>1</v>
      </c>
      <c r="I285" s="5">
        <v>16.2</v>
      </c>
      <c r="J285" t="s">
        <v>38</v>
      </c>
      <c r="K285" s="5">
        <v>16.2</v>
      </c>
    </row>
    <row r="286" spans="1:11" x14ac:dyDescent="0.2">
      <c r="A286" t="s">
        <v>527</v>
      </c>
      <c r="B286" s="4">
        <v>46107</v>
      </c>
      <c r="C286" t="s">
        <v>528</v>
      </c>
      <c r="D286" t="s">
        <v>58</v>
      </c>
      <c r="E286" t="s">
        <v>42</v>
      </c>
      <c r="F286" t="s">
        <v>43</v>
      </c>
      <c r="G286" t="s">
        <v>142</v>
      </c>
      <c r="H286">
        <v>5</v>
      </c>
      <c r="I286" s="5">
        <v>28.8</v>
      </c>
      <c r="J286" t="s">
        <v>38</v>
      </c>
      <c r="K286" s="5">
        <v>144</v>
      </c>
    </row>
    <row r="287" spans="1:11" x14ac:dyDescent="0.2">
      <c r="A287" t="s">
        <v>529</v>
      </c>
      <c r="B287" s="4">
        <v>46108</v>
      </c>
      <c r="C287" t="s">
        <v>408</v>
      </c>
      <c r="D287" t="s">
        <v>41</v>
      </c>
      <c r="E287" t="s">
        <v>35</v>
      </c>
      <c r="F287" t="s">
        <v>43</v>
      </c>
      <c r="G287" t="s">
        <v>44</v>
      </c>
      <c r="H287">
        <v>2</v>
      </c>
      <c r="I287" s="5">
        <v>103.95</v>
      </c>
      <c r="J287" t="s">
        <v>38</v>
      </c>
      <c r="K287" s="5">
        <v>207.9</v>
      </c>
    </row>
    <row r="288" spans="1:11" x14ac:dyDescent="0.2">
      <c r="A288" t="s">
        <v>530</v>
      </c>
      <c r="B288" s="4">
        <v>46108</v>
      </c>
      <c r="C288" t="s">
        <v>101</v>
      </c>
      <c r="D288" t="s">
        <v>47</v>
      </c>
      <c r="E288" t="s">
        <v>42</v>
      </c>
      <c r="F288" t="s">
        <v>43</v>
      </c>
      <c r="G288" t="s">
        <v>142</v>
      </c>
      <c r="H288">
        <v>3</v>
      </c>
      <c r="I288" s="5">
        <v>32</v>
      </c>
      <c r="J288" t="s">
        <v>38</v>
      </c>
      <c r="K288" s="5">
        <v>96</v>
      </c>
    </row>
    <row r="289" spans="1:11" x14ac:dyDescent="0.2">
      <c r="A289" t="s">
        <v>531</v>
      </c>
      <c r="B289" s="4">
        <v>46109</v>
      </c>
      <c r="C289" t="s">
        <v>234</v>
      </c>
      <c r="D289" t="s">
        <v>58</v>
      </c>
      <c r="E289" t="s">
        <v>35</v>
      </c>
      <c r="F289" t="s">
        <v>71</v>
      </c>
      <c r="G289" t="s">
        <v>92</v>
      </c>
      <c r="H289">
        <v>1</v>
      </c>
      <c r="I289" s="5">
        <v>68.25</v>
      </c>
      <c r="J289" t="s">
        <v>65</v>
      </c>
      <c r="K289" s="5">
        <v>68.25</v>
      </c>
    </row>
    <row r="290" spans="1:11" x14ac:dyDescent="0.2">
      <c r="A290" t="s">
        <v>532</v>
      </c>
      <c r="B290" s="4">
        <v>46109</v>
      </c>
      <c r="C290" t="s">
        <v>191</v>
      </c>
      <c r="D290" t="s">
        <v>47</v>
      </c>
      <c r="E290" t="s">
        <v>35</v>
      </c>
      <c r="F290" t="s">
        <v>71</v>
      </c>
      <c r="G290" t="s">
        <v>88</v>
      </c>
      <c r="H290">
        <v>1</v>
      </c>
      <c r="I290" s="5">
        <v>75</v>
      </c>
      <c r="J290" t="s">
        <v>38</v>
      </c>
      <c r="K290" s="5">
        <v>75</v>
      </c>
    </row>
    <row r="291" spans="1:11" x14ac:dyDescent="0.2">
      <c r="A291" t="s">
        <v>533</v>
      </c>
      <c r="B291" s="4">
        <v>46109</v>
      </c>
      <c r="C291" t="s">
        <v>157</v>
      </c>
      <c r="D291" t="s">
        <v>47</v>
      </c>
      <c r="E291" t="s">
        <v>42</v>
      </c>
      <c r="F291" t="s">
        <v>43</v>
      </c>
      <c r="G291" t="s">
        <v>44</v>
      </c>
      <c r="H291">
        <v>3</v>
      </c>
      <c r="I291" s="5">
        <v>103.95</v>
      </c>
      <c r="J291" t="s">
        <v>61</v>
      </c>
      <c r="K291" s="5">
        <v>311.85000000000002</v>
      </c>
    </row>
    <row r="292" spans="1:11" x14ac:dyDescent="0.2">
      <c r="A292" t="s">
        <v>534</v>
      </c>
      <c r="B292" s="4">
        <v>46109</v>
      </c>
      <c r="C292" t="s">
        <v>151</v>
      </c>
      <c r="D292" t="s">
        <v>47</v>
      </c>
      <c r="E292" t="s">
        <v>42</v>
      </c>
      <c r="F292" t="s">
        <v>43</v>
      </c>
      <c r="G292" t="s">
        <v>44</v>
      </c>
      <c r="H292">
        <v>1</v>
      </c>
      <c r="I292" s="5">
        <v>89.1</v>
      </c>
      <c r="J292" t="s">
        <v>38</v>
      </c>
      <c r="K292" s="5">
        <v>89.1</v>
      </c>
    </row>
    <row r="293" spans="1:11" x14ac:dyDescent="0.2">
      <c r="A293" t="s">
        <v>535</v>
      </c>
      <c r="B293" s="4">
        <v>46110</v>
      </c>
      <c r="C293" t="s">
        <v>209</v>
      </c>
      <c r="D293" t="s">
        <v>114</v>
      </c>
      <c r="E293" t="s">
        <v>35</v>
      </c>
      <c r="F293" t="s">
        <v>51</v>
      </c>
      <c r="G293" t="s">
        <v>55</v>
      </c>
      <c r="H293">
        <v>3</v>
      </c>
      <c r="I293" s="5">
        <v>22</v>
      </c>
      <c r="J293" t="s">
        <v>61</v>
      </c>
      <c r="K293" s="5">
        <v>66</v>
      </c>
    </row>
    <row r="294" spans="1:11" x14ac:dyDescent="0.2">
      <c r="A294" t="s">
        <v>536</v>
      </c>
      <c r="B294" s="4">
        <v>46110</v>
      </c>
      <c r="C294" t="s">
        <v>350</v>
      </c>
      <c r="D294" t="s">
        <v>41</v>
      </c>
      <c r="E294" t="s">
        <v>35</v>
      </c>
      <c r="F294" t="s">
        <v>43</v>
      </c>
      <c r="G294" t="s">
        <v>142</v>
      </c>
      <c r="H294">
        <v>1</v>
      </c>
      <c r="I294" s="5">
        <v>33.6</v>
      </c>
      <c r="J294" t="s">
        <v>65</v>
      </c>
      <c r="K294" s="5">
        <v>33.6</v>
      </c>
    </row>
    <row r="295" spans="1:11" x14ac:dyDescent="0.2">
      <c r="A295" t="s">
        <v>537</v>
      </c>
      <c r="B295" s="4">
        <v>46110</v>
      </c>
      <c r="C295" t="s">
        <v>538</v>
      </c>
      <c r="D295" t="s">
        <v>114</v>
      </c>
      <c r="E295" t="s">
        <v>42</v>
      </c>
      <c r="F295" t="s">
        <v>59</v>
      </c>
      <c r="G295" t="s">
        <v>106</v>
      </c>
      <c r="H295">
        <v>5</v>
      </c>
      <c r="I295" s="5">
        <v>28</v>
      </c>
      <c r="J295" t="s">
        <v>65</v>
      </c>
      <c r="K295" s="5">
        <v>140</v>
      </c>
    </row>
    <row r="296" spans="1:11" x14ac:dyDescent="0.2">
      <c r="A296" t="s">
        <v>539</v>
      </c>
      <c r="B296" s="4">
        <v>46110</v>
      </c>
      <c r="C296" t="s">
        <v>248</v>
      </c>
      <c r="D296" t="s">
        <v>41</v>
      </c>
      <c r="E296" t="s">
        <v>35</v>
      </c>
      <c r="F296" t="s">
        <v>51</v>
      </c>
      <c r="G296" t="s">
        <v>55</v>
      </c>
      <c r="H296">
        <v>1</v>
      </c>
      <c r="I296" s="5">
        <v>22</v>
      </c>
      <c r="J296" t="s">
        <v>61</v>
      </c>
      <c r="K296" s="5">
        <v>22</v>
      </c>
    </row>
    <row r="297" spans="1:11" x14ac:dyDescent="0.2">
      <c r="A297" t="s">
        <v>540</v>
      </c>
      <c r="B297" s="4">
        <v>46111</v>
      </c>
      <c r="C297" t="s">
        <v>541</v>
      </c>
      <c r="D297" t="s">
        <v>47</v>
      </c>
      <c r="E297" t="s">
        <v>42</v>
      </c>
      <c r="F297" t="s">
        <v>36</v>
      </c>
      <c r="G297" t="s">
        <v>85</v>
      </c>
      <c r="H297">
        <v>1</v>
      </c>
      <c r="I297" s="5">
        <v>89</v>
      </c>
      <c r="J297" t="s">
        <v>61</v>
      </c>
      <c r="K297" s="5">
        <v>89</v>
      </c>
    </row>
    <row r="298" spans="1:11" x14ac:dyDescent="0.2">
      <c r="A298" t="s">
        <v>542</v>
      </c>
      <c r="B298" s="4">
        <v>46111</v>
      </c>
      <c r="C298" t="s">
        <v>424</v>
      </c>
      <c r="D298" t="s">
        <v>114</v>
      </c>
      <c r="E298" t="s">
        <v>35</v>
      </c>
      <c r="F298" t="s">
        <v>43</v>
      </c>
      <c r="G298" t="s">
        <v>83</v>
      </c>
      <c r="H298">
        <v>1</v>
      </c>
      <c r="I298" s="5">
        <v>39</v>
      </c>
      <c r="J298" t="s">
        <v>38</v>
      </c>
      <c r="K298" s="5">
        <v>39</v>
      </c>
    </row>
    <row r="299" spans="1:11" x14ac:dyDescent="0.2">
      <c r="A299" t="s">
        <v>543</v>
      </c>
      <c r="B299" s="4">
        <v>46111</v>
      </c>
      <c r="C299" t="s">
        <v>40</v>
      </c>
      <c r="D299" t="s">
        <v>34</v>
      </c>
      <c r="E299" t="s">
        <v>91</v>
      </c>
      <c r="F299" t="s">
        <v>43</v>
      </c>
      <c r="G299" t="s">
        <v>142</v>
      </c>
      <c r="H299">
        <v>3</v>
      </c>
      <c r="I299" s="5">
        <v>32</v>
      </c>
      <c r="J299" t="s">
        <v>38</v>
      </c>
      <c r="K299" s="5">
        <v>96</v>
      </c>
    </row>
    <row r="300" spans="1:11" x14ac:dyDescent="0.2">
      <c r="A300" t="s">
        <v>544</v>
      </c>
      <c r="B300" s="4">
        <v>46112</v>
      </c>
      <c r="C300" t="s">
        <v>432</v>
      </c>
      <c r="D300" t="s">
        <v>41</v>
      </c>
      <c r="E300" t="s">
        <v>42</v>
      </c>
      <c r="F300" t="s">
        <v>43</v>
      </c>
      <c r="G300" t="s">
        <v>48</v>
      </c>
      <c r="H300">
        <v>1</v>
      </c>
      <c r="I300" s="5">
        <v>179</v>
      </c>
      <c r="J300" t="s">
        <v>65</v>
      </c>
      <c r="K300" s="5">
        <v>179</v>
      </c>
    </row>
    <row r="301" spans="1:11" x14ac:dyDescent="0.2">
      <c r="A301" t="s">
        <v>545</v>
      </c>
      <c r="B301" s="4">
        <v>46112</v>
      </c>
      <c r="C301" t="s">
        <v>352</v>
      </c>
      <c r="D301" t="s">
        <v>34</v>
      </c>
      <c r="E301" t="s">
        <v>35</v>
      </c>
      <c r="F301" t="s">
        <v>36</v>
      </c>
      <c r="G301" t="s">
        <v>122</v>
      </c>
      <c r="H301">
        <v>1</v>
      </c>
      <c r="I301" s="5">
        <v>25</v>
      </c>
      <c r="J301" t="s">
        <v>38</v>
      </c>
      <c r="K301" s="5">
        <v>25</v>
      </c>
    </row>
    <row r="302" spans="1:11" x14ac:dyDescent="0.2">
      <c r="A302" t="s">
        <v>546</v>
      </c>
      <c r="B302" s="4">
        <v>46112</v>
      </c>
      <c r="C302" t="s">
        <v>419</v>
      </c>
      <c r="D302" t="s">
        <v>34</v>
      </c>
      <c r="E302" t="s">
        <v>42</v>
      </c>
      <c r="F302" t="s">
        <v>51</v>
      </c>
      <c r="G302" t="s">
        <v>155</v>
      </c>
      <c r="H302">
        <v>3</v>
      </c>
      <c r="I302" s="5">
        <v>54</v>
      </c>
      <c r="J302" t="s">
        <v>61</v>
      </c>
      <c r="K302" s="5">
        <v>162</v>
      </c>
    </row>
    <row r="303" spans="1:11" x14ac:dyDescent="0.2">
      <c r="A303" t="s">
        <v>547</v>
      </c>
      <c r="B303" s="4">
        <v>46112</v>
      </c>
      <c r="C303" t="s">
        <v>548</v>
      </c>
      <c r="D303" t="s">
        <v>47</v>
      </c>
      <c r="E303" t="s">
        <v>42</v>
      </c>
      <c r="F303" t="s">
        <v>59</v>
      </c>
      <c r="G303" t="s">
        <v>80</v>
      </c>
      <c r="H303">
        <v>2</v>
      </c>
      <c r="I303" s="5">
        <v>31.5</v>
      </c>
      <c r="J303" t="s">
        <v>61</v>
      </c>
      <c r="K303" s="5">
        <v>63</v>
      </c>
    </row>
    <row r="304" spans="1:11" x14ac:dyDescent="0.2">
      <c r="A304" t="s">
        <v>549</v>
      </c>
      <c r="B304" s="4">
        <v>46112</v>
      </c>
      <c r="C304" t="s">
        <v>550</v>
      </c>
      <c r="D304" t="s">
        <v>41</v>
      </c>
      <c r="E304" t="s">
        <v>35</v>
      </c>
      <c r="F304" t="s">
        <v>59</v>
      </c>
      <c r="G304" t="s">
        <v>111</v>
      </c>
      <c r="H304">
        <v>5</v>
      </c>
      <c r="I304" s="5">
        <v>67.5</v>
      </c>
      <c r="J304" t="s">
        <v>38</v>
      </c>
      <c r="K304" s="5">
        <v>337.5</v>
      </c>
    </row>
    <row r="305" spans="1:11" x14ac:dyDescent="0.2">
      <c r="A305" t="s">
        <v>551</v>
      </c>
      <c r="B305" s="4">
        <v>46112</v>
      </c>
      <c r="C305" t="s">
        <v>383</v>
      </c>
      <c r="D305" t="s">
        <v>58</v>
      </c>
      <c r="E305" t="s">
        <v>91</v>
      </c>
      <c r="F305" t="s">
        <v>36</v>
      </c>
      <c r="G305" t="s">
        <v>85</v>
      </c>
      <c r="H305">
        <v>1</v>
      </c>
      <c r="I305" s="5">
        <v>89</v>
      </c>
      <c r="J305" t="s">
        <v>38</v>
      </c>
      <c r="K305" s="5">
        <v>89</v>
      </c>
    </row>
    <row r="306" spans="1:11" x14ac:dyDescent="0.2">
      <c r="A306" t="s">
        <v>552</v>
      </c>
      <c r="B306" s="4">
        <v>46113</v>
      </c>
      <c r="C306" t="s">
        <v>221</v>
      </c>
      <c r="D306" t="s">
        <v>114</v>
      </c>
      <c r="E306" t="s">
        <v>35</v>
      </c>
      <c r="F306" t="s">
        <v>43</v>
      </c>
      <c r="G306" t="s">
        <v>77</v>
      </c>
      <c r="H306">
        <v>1</v>
      </c>
      <c r="I306" s="5">
        <v>45</v>
      </c>
      <c r="J306" t="s">
        <v>38</v>
      </c>
      <c r="K306" s="5">
        <v>45</v>
      </c>
    </row>
    <row r="307" spans="1:11" x14ac:dyDescent="0.2">
      <c r="A307" t="s">
        <v>553</v>
      </c>
      <c r="B307" s="4">
        <v>46113</v>
      </c>
      <c r="C307" t="s">
        <v>554</v>
      </c>
      <c r="D307" t="s">
        <v>47</v>
      </c>
      <c r="E307" t="s">
        <v>91</v>
      </c>
      <c r="F307" t="s">
        <v>43</v>
      </c>
      <c r="G307" t="s">
        <v>44</v>
      </c>
      <c r="H307">
        <v>2</v>
      </c>
      <c r="I307" s="5">
        <v>89.1</v>
      </c>
      <c r="J307" t="s">
        <v>61</v>
      </c>
      <c r="K307" s="5">
        <v>178.2</v>
      </c>
    </row>
    <row r="308" spans="1:11" x14ac:dyDescent="0.2">
      <c r="A308" t="s">
        <v>555</v>
      </c>
      <c r="B308" s="4">
        <v>46114</v>
      </c>
      <c r="C308" t="s">
        <v>498</v>
      </c>
      <c r="D308" t="s">
        <v>34</v>
      </c>
      <c r="E308" t="s">
        <v>42</v>
      </c>
      <c r="F308" t="s">
        <v>59</v>
      </c>
      <c r="G308" t="s">
        <v>60</v>
      </c>
      <c r="H308">
        <v>2</v>
      </c>
      <c r="I308" s="5">
        <v>120</v>
      </c>
      <c r="J308" t="s">
        <v>38</v>
      </c>
      <c r="K308" s="5">
        <v>240</v>
      </c>
    </row>
    <row r="309" spans="1:11" x14ac:dyDescent="0.2">
      <c r="A309" t="s">
        <v>556</v>
      </c>
      <c r="B309" s="4">
        <v>46114</v>
      </c>
      <c r="C309" t="s">
        <v>67</v>
      </c>
      <c r="D309" t="s">
        <v>58</v>
      </c>
      <c r="E309" t="s">
        <v>42</v>
      </c>
      <c r="F309" t="s">
        <v>43</v>
      </c>
      <c r="G309" t="s">
        <v>142</v>
      </c>
      <c r="H309">
        <v>1</v>
      </c>
      <c r="I309" s="5">
        <v>33.6</v>
      </c>
      <c r="J309" t="s">
        <v>38</v>
      </c>
      <c r="K309" s="5">
        <v>33.6</v>
      </c>
    </row>
    <row r="310" spans="1:11" x14ac:dyDescent="0.2">
      <c r="A310" t="s">
        <v>557</v>
      </c>
      <c r="B310" s="4">
        <v>46114</v>
      </c>
      <c r="C310" t="s">
        <v>394</v>
      </c>
      <c r="D310" t="s">
        <v>34</v>
      </c>
      <c r="E310" t="s">
        <v>35</v>
      </c>
      <c r="F310" t="s">
        <v>36</v>
      </c>
      <c r="G310" t="s">
        <v>85</v>
      </c>
      <c r="H310">
        <v>3</v>
      </c>
      <c r="I310" s="5">
        <v>89</v>
      </c>
      <c r="J310" t="s">
        <v>38</v>
      </c>
      <c r="K310" s="5">
        <v>267</v>
      </c>
    </row>
    <row r="311" spans="1:11" x14ac:dyDescent="0.2">
      <c r="A311" t="s">
        <v>558</v>
      </c>
      <c r="B311" s="4">
        <v>46114</v>
      </c>
      <c r="C311" t="s">
        <v>300</v>
      </c>
      <c r="D311" t="s">
        <v>58</v>
      </c>
      <c r="E311" t="s">
        <v>91</v>
      </c>
      <c r="F311" t="s">
        <v>71</v>
      </c>
      <c r="G311" t="s">
        <v>95</v>
      </c>
      <c r="H311">
        <v>1</v>
      </c>
      <c r="I311" s="5">
        <v>20</v>
      </c>
      <c r="J311" t="s">
        <v>38</v>
      </c>
      <c r="K311" s="5">
        <v>20</v>
      </c>
    </row>
    <row r="312" spans="1:11" x14ac:dyDescent="0.2">
      <c r="A312" t="s">
        <v>559</v>
      </c>
      <c r="B312" s="4">
        <v>46115</v>
      </c>
      <c r="C312" t="s">
        <v>560</v>
      </c>
      <c r="D312" t="s">
        <v>41</v>
      </c>
      <c r="E312" t="s">
        <v>35</v>
      </c>
      <c r="F312" t="s">
        <v>59</v>
      </c>
      <c r="G312" t="s">
        <v>106</v>
      </c>
      <c r="H312">
        <v>1</v>
      </c>
      <c r="I312" s="5">
        <v>28</v>
      </c>
      <c r="J312" t="s">
        <v>38</v>
      </c>
      <c r="K312" s="5">
        <v>28</v>
      </c>
    </row>
    <row r="313" spans="1:11" x14ac:dyDescent="0.2">
      <c r="A313" t="s">
        <v>561</v>
      </c>
      <c r="B313" s="4">
        <v>46116</v>
      </c>
      <c r="C313" t="s">
        <v>451</v>
      </c>
      <c r="D313" t="s">
        <v>58</v>
      </c>
      <c r="E313" t="s">
        <v>91</v>
      </c>
      <c r="F313" t="s">
        <v>36</v>
      </c>
      <c r="G313" t="s">
        <v>68</v>
      </c>
      <c r="H313">
        <v>1</v>
      </c>
      <c r="I313" s="5">
        <v>79</v>
      </c>
      <c r="J313" t="s">
        <v>38</v>
      </c>
      <c r="K313" s="5">
        <v>79</v>
      </c>
    </row>
    <row r="314" spans="1:11" x14ac:dyDescent="0.2">
      <c r="A314" t="s">
        <v>562</v>
      </c>
      <c r="B314" s="4">
        <v>46116</v>
      </c>
      <c r="C314" t="s">
        <v>94</v>
      </c>
      <c r="D314" t="s">
        <v>58</v>
      </c>
      <c r="E314" t="s">
        <v>42</v>
      </c>
      <c r="F314" t="s">
        <v>43</v>
      </c>
      <c r="G314" t="s">
        <v>48</v>
      </c>
      <c r="H314">
        <v>1</v>
      </c>
      <c r="I314" s="5">
        <v>187.95</v>
      </c>
      <c r="J314" t="s">
        <v>38</v>
      </c>
      <c r="K314" s="5">
        <v>187.95</v>
      </c>
    </row>
    <row r="315" spans="1:11" x14ac:dyDescent="0.2">
      <c r="A315" t="s">
        <v>563</v>
      </c>
      <c r="B315" s="4">
        <v>46117</v>
      </c>
      <c r="C315" t="s">
        <v>373</v>
      </c>
      <c r="D315" t="s">
        <v>34</v>
      </c>
      <c r="E315" t="s">
        <v>42</v>
      </c>
      <c r="F315" t="s">
        <v>59</v>
      </c>
      <c r="G315" t="s">
        <v>111</v>
      </c>
      <c r="H315">
        <v>1</v>
      </c>
      <c r="I315" s="5">
        <v>78.75</v>
      </c>
      <c r="J315" t="s">
        <v>38</v>
      </c>
      <c r="K315" s="5">
        <v>78.75</v>
      </c>
    </row>
    <row r="316" spans="1:11" x14ac:dyDescent="0.2">
      <c r="A316" t="s">
        <v>564</v>
      </c>
      <c r="B316" s="4">
        <v>46117</v>
      </c>
      <c r="C316" t="s">
        <v>565</v>
      </c>
      <c r="D316" t="s">
        <v>58</v>
      </c>
      <c r="E316" t="s">
        <v>35</v>
      </c>
      <c r="F316" t="s">
        <v>71</v>
      </c>
      <c r="G316" t="s">
        <v>137</v>
      </c>
      <c r="H316">
        <v>1</v>
      </c>
      <c r="I316" s="5">
        <v>110</v>
      </c>
      <c r="J316" t="s">
        <v>61</v>
      </c>
      <c r="K316" s="5">
        <v>110</v>
      </c>
    </row>
    <row r="317" spans="1:11" x14ac:dyDescent="0.2">
      <c r="A317" t="s">
        <v>566</v>
      </c>
      <c r="B317" s="4">
        <v>46117</v>
      </c>
      <c r="C317" t="s">
        <v>397</v>
      </c>
      <c r="D317" t="s">
        <v>114</v>
      </c>
      <c r="E317" t="s">
        <v>35</v>
      </c>
      <c r="F317" t="s">
        <v>59</v>
      </c>
      <c r="G317" t="s">
        <v>111</v>
      </c>
      <c r="H317">
        <v>1</v>
      </c>
      <c r="I317" s="5">
        <v>75</v>
      </c>
      <c r="J317" t="s">
        <v>65</v>
      </c>
      <c r="K317" s="5">
        <v>75</v>
      </c>
    </row>
    <row r="318" spans="1:11" x14ac:dyDescent="0.2">
      <c r="A318" t="s">
        <v>567</v>
      </c>
      <c r="B318" s="4">
        <v>46118</v>
      </c>
      <c r="C318" t="s">
        <v>568</v>
      </c>
      <c r="D318" t="s">
        <v>41</v>
      </c>
      <c r="E318" t="s">
        <v>35</v>
      </c>
      <c r="F318" t="s">
        <v>43</v>
      </c>
      <c r="G318" t="s">
        <v>44</v>
      </c>
      <c r="H318">
        <v>2</v>
      </c>
      <c r="I318" s="5">
        <v>99</v>
      </c>
      <c r="J318" t="s">
        <v>38</v>
      </c>
      <c r="K318" s="5">
        <v>198</v>
      </c>
    </row>
    <row r="319" spans="1:11" x14ac:dyDescent="0.2">
      <c r="A319" t="s">
        <v>569</v>
      </c>
      <c r="B319" s="4">
        <v>46119</v>
      </c>
      <c r="C319" t="s">
        <v>550</v>
      </c>
      <c r="D319" t="s">
        <v>47</v>
      </c>
      <c r="E319" t="s">
        <v>35</v>
      </c>
      <c r="F319" t="s">
        <v>71</v>
      </c>
      <c r="G319" t="s">
        <v>95</v>
      </c>
      <c r="H319">
        <v>4</v>
      </c>
      <c r="I319" s="5">
        <v>18</v>
      </c>
      <c r="J319" t="s">
        <v>38</v>
      </c>
      <c r="K319" s="5">
        <v>72</v>
      </c>
    </row>
    <row r="320" spans="1:11" x14ac:dyDescent="0.2">
      <c r="A320" t="s">
        <v>570</v>
      </c>
      <c r="B320" s="4">
        <v>46119</v>
      </c>
      <c r="C320" t="s">
        <v>571</v>
      </c>
      <c r="D320" t="s">
        <v>58</v>
      </c>
      <c r="E320" t="s">
        <v>35</v>
      </c>
      <c r="F320" t="s">
        <v>71</v>
      </c>
      <c r="G320" t="s">
        <v>95</v>
      </c>
      <c r="H320">
        <v>1</v>
      </c>
      <c r="I320" s="5">
        <v>20</v>
      </c>
      <c r="J320" t="s">
        <v>38</v>
      </c>
      <c r="K320" s="5">
        <v>20</v>
      </c>
    </row>
    <row r="321" spans="1:11" x14ac:dyDescent="0.2">
      <c r="A321" t="s">
        <v>572</v>
      </c>
      <c r="B321" s="4">
        <v>46119</v>
      </c>
      <c r="C321" t="s">
        <v>436</v>
      </c>
      <c r="D321" t="s">
        <v>34</v>
      </c>
      <c r="E321" t="s">
        <v>35</v>
      </c>
      <c r="F321" t="s">
        <v>71</v>
      </c>
      <c r="G321" t="s">
        <v>72</v>
      </c>
      <c r="H321">
        <v>1</v>
      </c>
      <c r="I321" s="5">
        <v>55</v>
      </c>
      <c r="J321" t="s">
        <v>38</v>
      </c>
      <c r="K321" s="5">
        <v>55</v>
      </c>
    </row>
    <row r="322" spans="1:11" x14ac:dyDescent="0.2">
      <c r="A322" t="s">
        <v>573</v>
      </c>
      <c r="B322" s="4">
        <v>46120</v>
      </c>
      <c r="C322" t="s">
        <v>574</v>
      </c>
      <c r="D322" t="s">
        <v>47</v>
      </c>
      <c r="E322" t="s">
        <v>91</v>
      </c>
      <c r="F322" t="s">
        <v>43</v>
      </c>
      <c r="G322" t="s">
        <v>142</v>
      </c>
      <c r="H322">
        <v>1</v>
      </c>
      <c r="I322" s="5">
        <v>28.8</v>
      </c>
      <c r="J322" t="s">
        <v>38</v>
      </c>
      <c r="K322" s="5">
        <v>28.8</v>
      </c>
    </row>
    <row r="323" spans="1:11" x14ac:dyDescent="0.2">
      <c r="A323" t="s">
        <v>575</v>
      </c>
      <c r="B323" s="4">
        <v>46120</v>
      </c>
      <c r="C323" t="s">
        <v>397</v>
      </c>
      <c r="D323" t="s">
        <v>34</v>
      </c>
      <c r="E323" t="s">
        <v>35</v>
      </c>
      <c r="F323" t="s">
        <v>51</v>
      </c>
      <c r="G323" t="s">
        <v>99</v>
      </c>
      <c r="H323">
        <v>1</v>
      </c>
      <c r="I323" s="5">
        <v>18.899999999999999</v>
      </c>
      <c r="J323" t="s">
        <v>61</v>
      </c>
      <c r="K323" s="5">
        <v>18.899999999999999</v>
      </c>
    </row>
    <row r="324" spans="1:11" x14ac:dyDescent="0.2">
      <c r="A324" t="s">
        <v>576</v>
      </c>
      <c r="B324" s="4">
        <v>46120</v>
      </c>
      <c r="C324" t="s">
        <v>234</v>
      </c>
      <c r="D324" t="s">
        <v>114</v>
      </c>
      <c r="E324" t="s">
        <v>42</v>
      </c>
      <c r="F324" t="s">
        <v>43</v>
      </c>
      <c r="G324" t="s">
        <v>44</v>
      </c>
      <c r="H324">
        <v>1</v>
      </c>
      <c r="I324" s="5">
        <v>99</v>
      </c>
      <c r="J324" t="s">
        <v>38</v>
      </c>
      <c r="K324" s="5">
        <v>99</v>
      </c>
    </row>
    <row r="325" spans="1:11" x14ac:dyDescent="0.2">
      <c r="A325" t="s">
        <v>577</v>
      </c>
      <c r="B325" s="4">
        <v>46121</v>
      </c>
      <c r="C325" t="s">
        <v>232</v>
      </c>
      <c r="D325" t="s">
        <v>41</v>
      </c>
      <c r="E325" t="s">
        <v>42</v>
      </c>
      <c r="F325" t="s">
        <v>59</v>
      </c>
      <c r="G325" t="s">
        <v>80</v>
      </c>
      <c r="H325">
        <v>1</v>
      </c>
      <c r="I325" s="5">
        <v>35</v>
      </c>
      <c r="J325" t="s">
        <v>38</v>
      </c>
      <c r="K325" s="5">
        <v>35</v>
      </c>
    </row>
    <row r="326" spans="1:11" x14ac:dyDescent="0.2">
      <c r="A326" t="s">
        <v>578</v>
      </c>
      <c r="B326" s="4">
        <v>46121</v>
      </c>
      <c r="C326" t="s">
        <v>579</v>
      </c>
      <c r="D326" t="s">
        <v>58</v>
      </c>
      <c r="E326" t="s">
        <v>35</v>
      </c>
      <c r="F326" t="s">
        <v>71</v>
      </c>
      <c r="G326" t="s">
        <v>137</v>
      </c>
      <c r="H326">
        <v>3</v>
      </c>
      <c r="I326" s="5">
        <v>110</v>
      </c>
      <c r="J326" t="s">
        <v>38</v>
      </c>
      <c r="K326" s="5">
        <v>330</v>
      </c>
    </row>
    <row r="327" spans="1:11" x14ac:dyDescent="0.2">
      <c r="A327" t="s">
        <v>580</v>
      </c>
      <c r="B327" s="4">
        <v>46121</v>
      </c>
      <c r="C327" t="s">
        <v>154</v>
      </c>
      <c r="D327" t="s">
        <v>41</v>
      </c>
      <c r="E327" t="s">
        <v>91</v>
      </c>
      <c r="F327" t="s">
        <v>59</v>
      </c>
      <c r="G327" t="s">
        <v>60</v>
      </c>
      <c r="H327">
        <v>3</v>
      </c>
      <c r="I327" s="5">
        <v>120</v>
      </c>
      <c r="J327" t="s">
        <v>61</v>
      </c>
      <c r="K327" s="5">
        <v>360</v>
      </c>
    </row>
    <row r="328" spans="1:11" x14ac:dyDescent="0.2">
      <c r="A328" t="s">
        <v>581</v>
      </c>
      <c r="B328" s="4">
        <v>46121</v>
      </c>
      <c r="C328" t="s">
        <v>444</v>
      </c>
      <c r="D328" t="s">
        <v>114</v>
      </c>
      <c r="E328" t="s">
        <v>42</v>
      </c>
      <c r="F328" t="s">
        <v>36</v>
      </c>
      <c r="G328" t="s">
        <v>122</v>
      </c>
      <c r="H328">
        <v>3</v>
      </c>
      <c r="I328" s="5">
        <v>25</v>
      </c>
      <c r="J328" t="s">
        <v>65</v>
      </c>
      <c r="K328" s="5">
        <v>75</v>
      </c>
    </row>
    <row r="329" spans="1:11" x14ac:dyDescent="0.2">
      <c r="A329" t="s">
        <v>582</v>
      </c>
      <c r="B329" s="4">
        <v>46121</v>
      </c>
      <c r="C329" t="s">
        <v>211</v>
      </c>
      <c r="D329" t="s">
        <v>47</v>
      </c>
      <c r="E329" t="s">
        <v>35</v>
      </c>
      <c r="F329" t="s">
        <v>43</v>
      </c>
      <c r="G329" t="s">
        <v>83</v>
      </c>
      <c r="H329">
        <v>1</v>
      </c>
      <c r="I329" s="5">
        <v>39</v>
      </c>
      <c r="J329" t="s">
        <v>38</v>
      </c>
      <c r="K329" s="5">
        <v>39</v>
      </c>
    </row>
    <row r="330" spans="1:11" x14ac:dyDescent="0.2">
      <c r="A330" t="s">
        <v>583</v>
      </c>
      <c r="B330" s="4">
        <v>46121</v>
      </c>
      <c r="C330" t="s">
        <v>194</v>
      </c>
      <c r="D330" t="s">
        <v>41</v>
      </c>
      <c r="E330" t="s">
        <v>42</v>
      </c>
      <c r="F330" t="s">
        <v>71</v>
      </c>
      <c r="G330" t="s">
        <v>88</v>
      </c>
      <c r="H330">
        <v>1</v>
      </c>
      <c r="I330" s="5">
        <v>75</v>
      </c>
      <c r="J330" t="s">
        <v>65</v>
      </c>
      <c r="K330" s="5">
        <v>75</v>
      </c>
    </row>
    <row r="331" spans="1:11" x14ac:dyDescent="0.2">
      <c r="A331" t="s">
        <v>584</v>
      </c>
      <c r="B331" s="4">
        <v>46122</v>
      </c>
      <c r="C331" t="s">
        <v>358</v>
      </c>
      <c r="D331" t="s">
        <v>34</v>
      </c>
      <c r="E331" t="s">
        <v>42</v>
      </c>
      <c r="F331" t="s">
        <v>36</v>
      </c>
      <c r="G331" t="s">
        <v>152</v>
      </c>
      <c r="H331">
        <v>2</v>
      </c>
      <c r="I331" s="5">
        <v>59</v>
      </c>
      <c r="J331" t="s">
        <v>38</v>
      </c>
      <c r="K331" s="5">
        <v>118</v>
      </c>
    </row>
    <row r="332" spans="1:11" x14ac:dyDescent="0.2">
      <c r="A332" t="s">
        <v>585</v>
      </c>
      <c r="B332" s="4">
        <v>46122</v>
      </c>
      <c r="C332" t="s">
        <v>586</v>
      </c>
      <c r="D332" t="s">
        <v>114</v>
      </c>
      <c r="E332" t="s">
        <v>35</v>
      </c>
      <c r="F332" t="s">
        <v>71</v>
      </c>
      <c r="G332" t="s">
        <v>88</v>
      </c>
      <c r="H332">
        <v>1</v>
      </c>
      <c r="I332" s="5">
        <v>67.5</v>
      </c>
      <c r="J332" t="s">
        <v>61</v>
      </c>
      <c r="K332" s="5">
        <v>67.5</v>
      </c>
    </row>
    <row r="333" spans="1:11" x14ac:dyDescent="0.2">
      <c r="A333" t="s">
        <v>587</v>
      </c>
      <c r="B333" s="4">
        <v>46122</v>
      </c>
      <c r="C333" t="s">
        <v>588</v>
      </c>
      <c r="D333" t="s">
        <v>34</v>
      </c>
      <c r="E333" t="s">
        <v>35</v>
      </c>
      <c r="F333" t="s">
        <v>51</v>
      </c>
      <c r="G333" t="s">
        <v>155</v>
      </c>
      <c r="H333">
        <v>1</v>
      </c>
      <c r="I333" s="5">
        <v>60</v>
      </c>
      <c r="J333" t="s">
        <v>61</v>
      </c>
      <c r="K333" s="5">
        <v>60</v>
      </c>
    </row>
    <row r="334" spans="1:11" x14ac:dyDescent="0.2">
      <c r="A334" t="s">
        <v>589</v>
      </c>
      <c r="B334" s="4">
        <v>46122</v>
      </c>
      <c r="C334" t="s">
        <v>154</v>
      </c>
      <c r="D334" t="s">
        <v>47</v>
      </c>
      <c r="E334" t="s">
        <v>35</v>
      </c>
      <c r="F334" t="s">
        <v>36</v>
      </c>
      <c r="G334" t="s">
        <v>152</v>
      </c>
      <c r="H334">
        <v>3</v>
      </c>
      <c r="I334" s="5">
        <v>53.1</v>
      </c>
      <c r="J334" t="s">
        <v>65</v>
      </c>
      <c r="K334" s="5">
        <v>159.30000000000001</v>
      </c>
    </row>
    <row r="335" spans="1:11" x14ac:dyDescent="0.2">
      <c r="A335" t="s">
        <v>590</v>
      </c>
      <c r="B335" s="4">
        <v>46123</v>
      </c>
      <c r="C335" t="s">
        <v>263</v>
      </c>
      <c r="D335" t="s">
        <v>34</v>
      </c>
      <c r="E335" t="s">
        <v>42</v>
      </c>
      <c r="F335" t="s">
        <v>59</v>
      </c>
      <c r="G335" t="s">
        <v>64</v>
      </c>
      <c r="H335">
        <v>3</v>
      </c>
      <c r="I335" s="5">
        <v>18</v>
      </c>
      <c r="J335" t="s">
        <v>38</v>
      </c>
      <c r="K335" s="5">
        <v>54</v>
      </c>
    </row>
    <row r="336" spans="1:11" x14ac:dyDescent="0.2">
      <c r="A336" t="s">
        <v>591</v>
      </c>
      <c r="B336" s="4">
        <v>46123</v>
      </c>
      <c r="C336" t="s">
        <v>63</v>
      </c>
      <c r="D336" t="s">
        <v>58</v>
      </c>
      <c r="E336" t="s">
        <v>35</v>
      </c>
      <c r="F336" t="s">
        <v>36</v>
      </c>
      <c r="G336" t="s">
        <v>68</v>
      </c>
      <c r="H336">
        <v>1</v>
      </c>
      <c r="I336" s="5">
        <v>79</v>
      </c>
      <c r="J336" t="s">
        <v>61</v>
      </c>
      <c r="K336" s="5">
        <v>79</v>
      </c>
    </row>
    <row r="337" spans="1:11" x14ac:dyDescent="0.2">
      <c r="A337" t="s">
        <v>592</v>
      </c>
      <c r="B337" s="4">
        <v>46124</v>
      </c>
      <c r="C337" t="s">
        <v>333</v>
      </c>
      <c r="D337" t="s">
        <v>41</v>
      </c>
      <c r="E337" t="s">
        <v>35</v>
      </c>
      <c r="F337" t="s">
        <v>43</v>
      </c>
      <c r="G337" t="s">
        <v>48</v>
      </c>
      <c r="H337">
        <v>2</v>
      </c>
      <c r="I337" s="5">
        <v>187.95</v>
      </c>
      <c r="J337" t="s">
        <v>38</v>
      </c>
      <c r="K337" s="5">
        <v>375.9</v>
      </c>
    </row>
    <row r="338" spans="1:11" x14ac:dyDescent="0.2">
      <c r="A338" t="s">
        <v>593</v>
      </c>
      <c r="B338" s="4">
        <v>46124</v>
      </c>
      <c r="C338" t="s">
        <v>108</v>
      </c>
      <c r="D338" t="s">
        <v>41</v>
      </c>
      <c r="E338" t="s">
        <v>35</v>
      </c>
      <c r="F338" t="s">
        <v>43</v>
      </c>
      <c r="G338" t="s">
        <v>83</v>
      </c>
      <c r="H338">
        <v>2</v>
      </c>
      <c r="I338" s="5">
        <v>39</v>
      </c>
      <c r="J338" t="s">
        <v>38</v>
      </c>
      <c r="K338" s="5">
        <v>78</v>
      </c>
    </row>
    <row r="339" spans="1:11" x14ac:dyDescent="0.2">
      <c r="A339" t="s">
        <v>594</v>
      </c>
      <c r="B339" s="4">
        <v>46124</v>
      </c>
      <c r="C339" t="s">
        <v>472</v>
      </c>
      <c r="D339" t="s">
        <v>41</v>
      </c>
      <c r="E339" t="s">
        <v>91</v>
      </c>
      <c r="F339" t="s">
        <v>36</v>
      </c>
      <c r="G339" t="s">
        <v>37</v>
      </c>
      <c r="H339">
        <v>1</v>
      </c>
      <c r="I339" s="5">
        <v>35</v>
      </c>
      <c r="J339" t="s">
        <v>61</v>
      </c>
      <c r="K339" s="5">
        <v>35</v>
      </c>
    </row>
    <row r="340" spans="1:11" x14ac:dyDescent="0.2">
      <c r="A340" t="s">
        <v>595</v>
      </c>
      <c r="B340" s="4">
        <v>46125</v>
      </c>
      <c r="C340" t="s">
        <v>596</v>
      </c>
      <c r="D340" t="s">
        <v>58</v>
      </c>
      <c r="E340" t="s">
        <v>35</v>
      </c>
      <c r="F340" t="s">
        <v>51</v>
      </c>
      <c r="G340" t="s">
        <v>55</v>
      </c>
      <c r="H340">
        <v>3</v>
      </c>
      <c r="I340" s="5">
        <v>23.1</v>
      </c>
      <c r="J340" t="s">
        <v>38</v>
      </c>
      <c r="K340" s="5">
        <v>69.3</v>
      </c>
    </row>
    <row r="341" spans="1:11" x14ac:dyDescent="0.2">
      <c r="A341" t="s">
        <v>597</v>
      </c>
      <c r="B341" s="4">
        <v>46125</v>
      </c>
      <c r="C341" t="s">
        <v>394</v>
      </c>
      <c r="D341" t="s">
        <v>47</v>
      </c>
      <c r="E341" t="s">
        <v>35</v>
      </c>
      <c r="F341" t="s">
        <v>36</v>
      </c>
      <c r="G341" t="s">
        <v>152</v>
      </c>
      <c r="H341">
        <v>3</v>
      </c>
      <c r="I341" s="5">
        <v>59</v>
      </c>
      <c r="J341" t="s">
        <v>61</v>
      </c>
      <c r="K341" s="5">
        <v>177</v>
      </c>
    </row>
    <row r="342" spans="1:11" x14ac:dyDescent="0.2">
      <c r="A342" t="s">
        <v>598</v>
      </c>
      <c r="B342" s="4">
        <v>46125</v>
      </c>
      <c r="C342" t="s">
        <v>599</v>
      </c>
      <c r="D342" t="s">
        <v>34</v>
      </c>
      <c r="E342" t="s">
        <v>35</v>
      </c>
      <c r="F342" t="s">
        <v>71</v>
      </c>
      <c r="G342" t="s">
        <v>95</v>
      </c>
      <c r="H342">
        <v>2</v>
      </c>
      <c r="I342" s="5">
        <v>20</v>
      </c>
      <c r="J342" t="s">
        <v>61</v>
      </c>
      <c r="K342" s="5">
        <v>40</v>
      </c>
    </row>
    <row r="343" spans="1:11" x14ac:dyDescent="0.2">
      <c r="A343" t="s">
        <v>600</v>
      </c>
      <c r="B343" s="4">
        <v>46126</v>
      </c>
      <c r="C343" t="s">
        <v>601</v>
      </c>
      <c r="D343" t="s">
        <v>34</v>
      </c>
      <c r="E343" t="s">
        <v>91</v>
      </c>
      <c r="F343" t="s">
        <v>36</v>
      </c>
      <c r="G343" t="s">
        <v>85</v>
      </c>
      <c r="H343">
        <v>1</v>
      </c>
      <c r="I343" s="5">
        <v>93.45</v>
      </c>
      <c r="J343" t="s">
        <v>38</v>
      </c>
      <c r="K343" s="5">
        <v>93.45</v>
      </c>
    </row>
    <row r="344" spans="1:11" x14ac:dyDescent="0.2">
      <c r="A344" t="s">
        <v>602</v>
      </c>
      <c r="B344" s="4">
        <v>46127</v>
      </c>
      <c r="C344" t="s">
        <v>389</v>
      </c>
      <c r="D344" t="s">
        <v>34</v>
      </c>
      <c r="E344" t="s">
        <v>35</v>
      </c>
      <c r="F344" t="s">
        <v>36</v>
      </c>
      <c r="G344" t="s">
        <v>122</v>
      </c>
      <c r="H344">
        <v>1</v>
      </c>
      <c r="I344" s="5">
        <v>22.5</v>
      </c>
      <c r="J344" t="s">
        <v>65</v>
      </c>
      <c r="K344" s="5">
        <v>22.5</v>
      </c>
    </row>
    <row r="345" spans="1:11" x14ac:dyDescent="0.2">
      <c r="A345" t="s">
        <v>603</v>
      </c>
      <c r="B345" s="4">
        <v>46127</v>
      </c>
      <c r="C345" t="s">
        <v>265</v>
      </c>
      <c r="D345" t="s">
        <v>41</v>
      </c>
      <c r="E345" t="s">
        <v>91</v>
      </c>
      <c r="F345" t="s">
        <v>71</v>
      </c>
      <c r="G345" t="s">
        <v>72</v>
      </c>
      <c r="H345">
        <v>2</v>
      </c>
      <c r="I345" s="5">
        <v>55</v>
      </c>
      <c r="J345" t="s">
        <v>38</v>
      </c>
      <c r="K345" s="5">
        <v>110</v>
      </c>
    </row>
    <row r="346" spans="1:11" x14ac:dyDescent="0.2">
      <c r="A346" t="s">
        <v>604</v>
      </c>
      <c r="B346" s="4">
        <v>46127</v>
      </c>
      <c r="C346" t="s">
        <v>225</v>
      </c>
      <c r="D346" t="s">
        <v>47</v>
      </c>
      <c r="E346" t="s">
        <v>42</v>
      </c>
      <c r="F346" t="s">
        <v>59</v>
      </c>
      <c r="G346" t="s">
        <v>80</v>
      </c>
      <c r="H346">
        <v>1</v>
      </c>
      <c r="I346" s="5">
        <v>35</v>
      </c>
      <c r="J346" t="s">
        <v>65</v>
      </c>
      <c r="K346" s="5">
        <v>35</v>
      </c>
    </row>
    <row r="347" spans="1:11" x14ac:dyDescent="0.2">
      <c r="A347" t="s">
        <v>605</v>
      </c>
      <c r="B347" s="4">
        <v>46127</v>
      </c>
      <c r="C347" t="s">
        <v>67</v>
      </c>
      <c r="D347" t="s">
        <v>47</v>
      </c>
      <c r="E347" t="s">
        <v>42</v>
      </c>
      <c r="F347" t="s">
        <v>43</v>
      </c>
      <c r="G347" t="s">
        <v>83</v>
      </c>
      <c r="H347">
        <v>1</v>
      </c>
      <c r="I347" s="5">
        <v>39</v>
      </c>
      <c r="J347" t="s">
        <v>61</v>
      </c>
      <c r="K347" s="5">
        <v>39</v>
      </c>
    </row>
    <row r="348" spans="1:11" x14ac:dyDescent="0.2">
      <c r="A348" t="s">
        <v>606</v>
      </c>
      <c r="B348" s="4">
        <v>46128</v>
      </c>
      <c r="C348" t="s">
        <v>472</v>
      </c>
      <c r="D348" t="s">
        <v>34</v>
      </c>
      <c r="E348" t="s">
        <v>35</v>
      </c>
      <c r="F348" t="s">
        <v>43</v>
      </c>
      <c r="G348" t="s">
        <v>83</v>
      </c>
      <c r="H348">
        <v>1</v>
      </c>
      <c r="I348" s="5">
        <v>39</v>
      </c>
      <c r="J348" t="s">
        <v>38</v>
      </c>
      <c r="K348" s="5">
        <v>39</v>
      </c>
    </row>
    <row r="349" spans="1:11" x14ac:dyDescent="0.2">
      <c r="A349" t="s">
        <v>607</v>
      </c>
      <c r="B349" s="4">
        <v>46128</v>
      </c>
      <c r="C349" t="s">
        <v>485</v>
      </c>
      <c r="D349" t="s">
        <v>47</v>
      </c>
      <c r="E349" t="s">
        <v>91</v>
      </c>
      <c r="F349" t="s">
        <v>51</v>
      </c>
      <c r="G349" t="s">
        <v>52</v>
      </c>
      <c r="H349">
        <v>1</v>
      </c>
      <c r="I349" s="5">
        <v>45</v>
      </c>
      <c r="J349" t="s">
        <v>65</v>
      </c>
      <c r="K349" s="5">
        <v>45</v>
      </c>
    </row>
    <row r="350" spans="1:11" x14ac:dyDescent="0.2">
      <c r="A350" t="s">
        <v>608</v>
      </c>
      <c r="B350" s="4">
        <v>46128</v>
      </c>
      <c r="C350" t="s">
        <v>503</v>
      </c>
      <c r="D350" t="s">
        <v>58</v>
      </c>
      <c r="E350" t="s">
        <v>35</v>
      </c>
      <c r="F350" t="s">
        <v>59</v>
      </c>
      <c r="G350" t="s">
        <v>60</v>
      </c>
      <c r="H350">
        <v>2</v>
      </c>
      <c r="I350" s="5">
        <v>120</v>
      </c>
      <c r="J350" t="s">
        <v>38</v>
      </c>
      <c r="K350" s="5">
        <v>240</v>
      </c>
    </row>
    <row r="351" spans="1:11" x14ac:dyDescent="0.2">
      <c r="A351" t="s">
        <v>609</v>
      </c>
      <c r="B351" s="4">
        <v>46128</v>
      </c>
      <c r="C351" t="s">
        <v>485</v>
      </c>
      <c r="D351" t="s">
        <v>47</v>
      </c>
      <c r="E351" t="s">
        <v>35</v>
      </c>
      <c r="F351" t="s">
        <v>36</v>
      </c>
      <c r="G351" t="s">
        <v>37</v>
      </c>
      <c r="H351">
        <v>3</v>
      </c>
      <c r="I351" s="5">
        <v>35</v>
      </c>
      <c r="J351" t="s">
        <v>38</v>
      </c>
      <c r="K351" s="5">
        <v>105</v>
      </c>
    </row>
    <row r="352" spans="1:11" x14ac:dyDescent="0.2">
      <c r="A352" t="s">
        <v>610</v>
      </c>
      <c r="B352" s="4">
        <v>46129</v>
      </c>
      <c r="C352" t="s">
        <v>611</v>
      </c>
      <c r="D352" t="s">
        <v>47</v>
      </c>
      <c r="E352" t="s">
        <v>35</v>
      </c>
      <c r="F352" t="s">
        <v>36</v>
      </c>
      <c r="G352" t="s">
        <v>85</v>
      </c>
      <c r="H352">
        <v>1</v>
      </c>
      <c r="I352" s="5">
        <v>89</v>
      </c>
      <c r="J352" t="s">
        <v>61</v>
      </c>
      <c r="K352" s="5">
        <v>89</v>
      </c>
    </row>
    <row r="353" spans="1:11" x14ac:dyDescent="0.2">
      <c r="A353" t="s">
        <v>612</v>
      </c>
      <c r="B353" s="4">
        <v>46129</v>
      </c>
      <c r="C353" t="s">
        <v>394</v>
      </c>
      <c r="D353" t="s">
        <v>58</v>
      </c>
      <c r="E353" t="s">
        <v>42</v>
      </c>
      <c r="F353" t="s">
        <v>43</v>
      </c>
      <c r="G353" t="s">
        <v>44</v>
      </c>
      <c r="H353">
        <v>5</v>
      </c>
      <c r="I353" s="5">
        <v>103.95</v>
      </c>
      <c r="J353" t="s">
        <v>38</v>
      </c>
      <c r="K353" s="5">
        <v>519.75</v>
      </c>
    </row>
    <row r="354" spans="1:11" x14ac:dyDescent="0.2">
      <c r="A354" t="s">
        <v>613</v>
      </c>
      <c r="B354" s="4">
        <v>46129</v>
      </c>
      <c r="C354" t="s">
        <v>614</v>
      </c>
      <c r="D354" t="s">
        <v>47</v>
      </c>
      <c r="E354" t="s">
        <v>35</v>
      </c>
      <c r="F354" t="s">
        <v>59</v>
      </c>
      <c r="G354" t="s">
        <v>111</v>
      </c>
      <c r="H354">
        <v>1</v>
      </c>
      <c r="I354" s="5">
        <v>75</v>
      </c>
      <c r="J354" t="s">
        <v>38</v>
      </c>
      <c r="K354" s="5">
        <v>75</v>
      </c>
    </row>
    <row r="355" spans="1:11" x14ac:dyDescent="0.2">
      <c r="A355" t="s">
        <v>615</v>
      </c>
      <c r="B355" s="4">
        <v>46129</v>
      </c>
      <c r="C355" t="s">
        <v>616</v>
      </c>
      <c r="D355" t="s">
        <v>47</v>
      </c>
      <c r="E355" t="s">
        <v>91</v>
      </c>
      <c r="F355" t="s">
        <v>36</v>
      </c>
      <c r="G355" t="s">
        <v>122</v>
      </c>
      <c r="H355">
        <v>2</v>
      </c>
      <c r="I355" s="5">
        <v>25</v>
      </c>
      <c r="J355" t="s">
        <v>38</v>
      </c>
      <c r="K355" s="5">
        <v>50</v>
      </c>
    </row>
    <row r="356" spans="1:11" x14ac:dyDescent="0.2">
      <c r="A356" t="s">
        <v>617</v>
      </c>
      <c r="B356" s="4">
        <v>46130</v>
      </c>
      <c r="C356" t="s">
        <v>503</v>
      </c>
      <c r="D356" t="s">
        <v>58</v>
      </c>
      <c r="E356" t="s">
        <v>35</v>
      </c>
      <c r="F356" t="s">
        <v>36</v>
      </c>
      <c r="G356" t="s">
        <v>152</v>
      </c>
      <c r="H356">
        <v>4</v>
      </c>
      <c r="I356" s="5">
        <v>59</v>
      </c>
      <c r="J356" t="s">
        <v>38</v>
      </c>
      <c r="K356" s="5">
        <v>236</v>
      </c>
    </row>
    <row r="357" spans="1:11" x14ac:dyDescent="0.2">
      <c r="A357" t="s">
        <v>618</v>
      </c>
      <c r="B357" s="4">
        <v>46130</v>
      </c>
      <c r="C357" t="s">
        <v>263</v>
      </c>
      <c r="D357" t="s">
        <v>114</v>
      </c>
      <c r="E357" t="s">
        <v>35</v>
      </c>
      <c r="F357" t="s">
        <v>59</v>
      </c>
      <c r="G357" t="s">
        <v>60</v>
      </c>
      <c r="H357">
        <v>3</v>
      </c>
      <c r="I357" s="5">
        <v>120</v>
      </c>
      <c r="J357" t="s">
        <v>65</v>
      </c>
      <c r="K357" s="5">
        <v>360</v>
      </c>
    </row>
    <row r="358" spans="1:11" x14ac:dyDescent="0.2">
      <c r="A358" t="s">
        <v>619</v>
      </c>
      <c r="B358" s="4">
        <v>46131</v>
      </c>
      <c r="C358" t="s">
        <v>620</v>
      </c>
      <c r="D358" t="s">
        <v>114</v>
      </c>
      <c r="E358" t="s">
        <v>91</v>
      </c>
      <c r="F358" t="s">
        <v>43</v>
      </c>
      <c r="G358" t="s">
        <v>142</v>
      </c>
      <c r="H358">
        <v>1</v>
      </c>
      <c r="I358" s="5">
        <v>32</v>
      </c>
      <c r="J358" t="s">
        <v>38</v>
      </c>
      <c r="K358" s="5">
        <v>32</v>
      </c>
    </row>
    <row r="359" spans="1:11" x14ac:dyDescent="0.2">
      <c r="A359" t="s">
        <v>621</v>
      </c>
      <c r="B359" s="4">
        <v>46131</v>
      </c>
      <c r="C359" t="s">
        <v>550</v>
      </c>
      <c r="D359" t="s">
        <v>58</v>
      </c>
      <c r="E359" t="s">
        <v>35</v>
      </c>
      <c r="F359" t="s">
        <v>43</v>
      </c>
      <c r="G359" t="s">
        <v>142</v>
      </c>
      <c r="H359">
        <v>2</v>
      </c>
      <c r="I359" s="5">
        <v>33.6</v>
      </c>
      <c r="J359" t="s">
        <v>65</v>
      </c>
      <c r="K359" s="5">
        <v>67.2</v>
      </c>
    </row>
    <row r="360" spans="1:11" x14ac:dyDescent="0.2">
      <c r="A360" t="s">
        <v>622</v>
      </c>
      <c r="B360" s="4">
        <v>46132</v>
      </c>
      <c r="C360" t="s">
        <v>623</v>
      </c>
      <c r="D360" t="s">
        <v>34</v>
      </c>
      <c r="E360" t="s">
        <v>35</v>
      </c>
      <c r="F360" t="s">
        <v>36</v>
      </c>
      <c r="G360" t="s">
        <v>152</v>
      </c>
      <c r="H360">
        <v>1</v>
      </c>
      <c r="I360" s="5">
        <v>59</v>
      </c>
      <c r="J360" t="s">
        <v>61</v>
      </c>
      <c r="K360" s="5">
        <v>59</v>
      </c>
    </row>
    <row r="361" spans="1:11" x14ac:dyDescent="0.2">
      <c r="A361" t="s">
        <v>624</v>
      </c>
      <c r="B361" s="4">
        <v>46132</v>
      </c>
      <c r="C361" t="s">
        <v>271</v>
      </c>
      <c r="D361" t="s">
        <v>47</v>
      </c>
      <c r="E361" t="s">
        <v>42</v>
      </c>
      <c r="F361" t="s">
        <v>43</v>
      </c>
      <c r="G361" t="s">
        <v>77</v>
      </c>
      <c r="H361">
        <v>4</v>
      </c>
      <c r="I361" s="5">
        <v>47.25</v>
      </c>
      <c r="J361" t="s">
        <v>38</v>
      </c>
      <c r="K361" s="5">
        <v>189</v>
      </c>
    </row>
    <row r="362" spans="1:11" x14ac:dyDescent="0.2">
      <c r="A362" t="s">
        <v>625</v>
      </c>
      <c r="B362" s="4">
        <v>46133</v>
      </c>
      <c r="C362" t="s">
        <v>599</v>
      </c>
      <c r="D362" t="s">
        <v>58</v>
      </c>
      <c r="E362" t="s">
        <v>35</v>
      </c>
      <c r="F362" t="s">
        <v>71</v>
      </c>
      <c r="G362" t="s">
        <v>137</v>
      </c>
      <c r="H362">
        <v>2</v>
      </c>
      <c r="I362" s="5">
        <v>110</v>
      </c>
      <c r="J362" t="s">
        <v>61</v>
      </c>
      <c r="K362" s="5">
        <v>220</v>
      </c>
    </row>
    <row r="363" spans="1:11" x14ac:dyDescent="0.2">
      <c r="A363" t="s">
        <v>626</v>
      </c>
      <c r="B363" s="4">
        <v>46133</v>
      </c>
      <c r="C363" t="s">
        <v>627</v>
      </c>
      <c r="D363" t="s">
        <v>41</v>
      </c>
      <c r="E363" t="s">
        <v>35</v>
      </c>
      <c r="F363" t="s">
        <v>36</v>
      </c>
      <c r="G363" t="s">
        <v>122</v>
      </c>
      <c r="H363">
        <v>1</v>
      </c>
      <c r="I363" s="5">
        <v>25</v>
      </c>
      <c r="J363" t="s">
        <v>65</v>
      </c>
      <c r="K363" s="5">
        <v>25</v>
      </c>
    </row>
    <row r="364" spans="1:11" x14ac:dyDescent="0.2">
      <c r="A364" t="s">
        <v>628</v>
      </c>
      <c r="B364" s="4">
        <v>46133</v>
      </c>
      <c r="C364" t="s">
        <v>421</v>
      </c>
      <c r="D364" t="s">
        <v>47</v>
      </c>
      <c r="E364" t="s">
        <v>91</v>
      </c>
      <c r="F364" t="s">
        <v>51</v>
      </c>
      <c r="G364" t="s">
        <v>119</v>
      </c>
      <c r="H364">
        <v>2</v>
      </c>
      <c r="I364" s="5">
        <v>30</v>
      </c>
      <c r="J364" t="s">
        <v>38</v>
      </c>
      <c r="K364" s="5">
        <v>60</v>
      </c>
    </row>
    <row r="365" spans="1:11" x14ac:dyDescent="0.2">
      <c r="A365" t="s">
        <v>629</v>
      </c>
      <c r="B365" s="4">
        <v>46133</v>
      </c>
      <c r="C365" t="s">
        <v>118</v>
      </c>
      <c r="D365" t="s">
        <v>114</v>
      </c>
      <c r="E365" t="s">
        <v>91</v>
      </c>
      <c r="F365" t="s">
        <v>71</v>
      </c>
      <c r="G365" t="s">
        <v>137</v>
      </c>
      <c r="H365">
        <v>3</v>
      </c>
      <c r="I365" s="5">
        <v>110</v>
      </c>
      <c r="J365" t="s">
        <v>61</v>
      </c>
      <c r="K365" s="5">
        <v>330</v>
      </c>
    </row>
    <row r="366" spans="1:11" x14ac:dyDescent="0.2">
      <c r="A366" t="s">
        <v>630</v>
      </c>
      <c r="B366" s="4">
        <v>46133</v>
      </c>
      <c r="C366" t="s">
        <v>631</v>
      </c>
      <c r="D366" t="s">
        <v>41</v>
      </c>
      <c r="E366" t="s">
        <v>91</v>
      </c>
      <c r="F366" t="s">
        <v>51</v>
      </c>
      <c r="G366" t="s">
        <v>55</v>
      </c>
      <c r="H366">
        <v>4</v>
      </c>
      <c r="I366" s="5">
        <v>22</v>
      </c>
      <c r="J366" t="s">
        <v>61</v>
      </c>
      <c r="K366" s="5">
        <v>88</v>
      </c>
    </row>
    <row r="367" spans="1:11" x14ac:dyDescent="0.2">
      <c r="A367" t="s">
        <v>632</v>
      </c>
      <c r="B367" s="4">
        <v>46133</v>
      </c>
      <c r="C367" t="s">
        <v>259</v>
      </c>
      <c r="D367" t="s">
        <v>47</v>
      </c>
      <c r="E367" t="s">
        <v>35</v>
      </c>
      <c r="F367" t="s">
        <v>71</v>
      </c>
      <c r="G367" t="s">
        <v>95</v>
      </c>
      <c r="H367">
        <v>2</v>
      </c>
      <c r="I367" s="5">
        <v>18</v>
      </c>
      <c r="J367" t="s">
        <v>61</v>
      </c>
      <c r="K367" s="5">
        <v>36</v>
      </c>
    </row>
    <row r="368" spans="1:11" x14ac:dyDescent="0.2">
      <c r="A368" t="s">
        <v>633</v>
      </c>
      <c r="B368" s="4">
        <v>46135</v>
      </c>
      <c r="C368" t="s">
        <v>634</v>
      </c>
      <c r="D368" t="s">
        <v>114</v>
      </c>
      <c r="E368" t="s">
        <v>35</v>
      </c>
      <c r="F368" t="s">
        <v>59</v>
      </c>
      <c r="G368" t="s">
        <v>111</v>
      </c>
      <c r="H368">
        <v>1</v>
      </c>
      <c r="I368" s="5">
        <v>78.75</v>
      </c>
      <c r="J368" t="s">
        <v>38</v>
      </c>
      <c r="K368" s="5">
        <v>78.75</v>
      </c>
    </row>
    <row r="369" spans="1:11" x14ac:dyDescent="0.2">
      <c r="A369" t="s">
        <v>635</v>
      </c>
      <c r="B369" s="4">
        <v>46135</v>
      </c>
      <c r="C369" t="s">
        <v>223</v>
      </c>
      <c r="D369" t="s">
        <v>114</v>
      </c>
      <c r="E369" t="s">
        <v>42</v>
      </c>
      <c r="F369" t="s">
        <v>36</v>
      </c>
      <c r="G369" t="s">
        <v>68</v>
      </c>
      <c r="H369">
        <v>1</v>
      </c>
      <c r="I369" s="5">
        <v>79</v>
      </c>
      <c r="J369" t="s">
        <v>38</v>
      </c>
      <c r="K369" s="5">
        <v>79</v>
      </c>
    </row>
    <row r="370" spans="1:11" x14ac:dyDescent="0.2">
      <c r="A370" t="s">
        <v>636</v>
      </c>
      <c r="B370" s="4">
        <v>46135</v>
      </c>
      <c r="C370" t="s">
        <v>238</v>
      </c>
      <c r="D370" t="s">
        <v>114</v>
      </c>
      <c r="E370" t="s">
        <v>35</v>
      </c>
      <c r="F370" t="s">
        <v>71</v>
      </c>
      <c r="G370" t="s">
        <v>72</v>
      </c>
      <c r="H370">
        <v>2</v>
      </c>
      <c r="I370" s="5">
        <v>49.5</v>
      </c>
      <c r="J370" t="s">
        <v>61</v>
      </c>
      <c r="K370" s="5">
        <v>99</v>
      </c>
    </row>
    <row r="371" spans="1:11" x14ac:dyDescent="0.2">
      <c r="A371" t="s">
        <v>637</v>
      </c>
      <c r="B371" s="4">
        <v>46135</v>
      </c>
      <c r="C371" t="s">
        <v>638</v>
      </c>
      <c r="D371" t="s">
        <v>47</v>
      </c>
      <c r="E371" t="s">
        <v>42</v>
      </c>
      <c r="F371" t="s">
        <v>36</v>
      </c>
      <c r="G371" t="s">
        <v>68</v>
      </c>
      <c r="H371">
        <v>1</v>
      </c>
      <c r="I371" s="5">
        <v>79</v>
      </c>
      <c r="J371" t="s">
        <v>61</v>
      </c>
      <c r="K371" s="5">
        <v>79</v>
      </c>
    </row>
    <row r="372" spans="1:11" x14ac:dyDescent="0.2">
      <c r="A372" t="s">
        <v>639</v>
      </c>
      <c r="B372" s="4">
        <v>46135</v>
      </c>
      <c r="C372" t="s">
        <v>161</v>
      </c>
      <c r="D372" t="s">
        <v>41</v>
      </c>
      <c r="E372" t="s">
        <v>35</v>
      </c>
      <c r="F372" t="s">
        <v>71</v>
      </c>
      <c r="G372" t="s">
        <v>95</v>
      </c>
      <c r="H372">
        <v>5</v>
      </c>
      <c r="I372" s="5">
        <v>20</v>
      </c>
      <c r="J372" t="s">
        <v>61</v>
      </c>
      <c r="K372" s="5">
        <v>100</v>
      </c>
    </row>
    <row r="373" spans="1:11" x14ac:dyDescent="0.2">
      <c r="A373" t="s">
        <v>640</v>
      </c>
      <c r="B373" s="4">
        <v>46135</v>
      </c>
      <c r="C373" t="s">
        <v>40</v>
      </c>
      <c r="D373" t="s">
        <v>58</v>
      </c>
      <c r="E373" t="s">
        <v>35</v>
      </c>
      <c r="F373" t="s">
        <v>71</v>
      </c>
      <c r="G373" t="s">
        <v>92</v>
      </c>
      <c r="H373">
        <v>3</v>
      </c>
      <c r="I373" s="5">
        <v>65</v>
      </c>
      <c r="J373" t="s">
        <v>38</v>
      </c>
      <c r="K373" s="5">
        <v>195</v>
      </c>
    </row>
    <row r="374" spans="1:11" x14ac:dyDescent="0.2">
      <c r="A374" t="s">
        <v>641</v>
      </c>
      <c r="B374" s="4">
        <v>46136</v>
      </c>
      <c r="C374" t="s">
        <v>236</v>
      </c>
      <c r="D374" t="s">
        <v>47</v>
      </c>
      <c r="E374" t="s">
        <v>42</v>
      </c>
      <c r="F374" t="s">
        <v>36</v>
      </c>
      <c r="G374" t="s">
        <v>85</v>
      </c>
      <c r="H374">
        <v>1</v>
      </c>
      <c r="I374" s="5">
        <v>93.45</v>
      </c>
      <c r="J374" t="s">
        <v>38</v>
      </c>
      <c r="K374" s="5">
        <v>93.45</v>
      </c>
    </row>
    <row r="375" spans="1:11" x14ac:dyDescent="0.2">
      <c r="A375" t="s">
        <v>642</v>
      </c>
      <c r="B375" s="4">
        <v>46136</v>
      </c>
      <c r="C375" t="s">
        <v>373</v>
      </c>
      <c r="D375" t="s">
        <v>47</v>
      </c>
      <c r="E375" t="s">
        <v>35</v>
      </c>
      <c r="F375" t="s">
        <v>51</v>
      </c>
      <c r="G375" t="s">
        <v>55</v>
      </c>
      <c r="H375">
        <v>2</v>
      </c>
      <c r="I375" s="5">
        <v>22</v>
      </c>
      <c r="J375" t="s">
        <v>38</v>
      </c>
      <c r="K375" s="5">
        <v>44</v>
      </c>
    </row>
    <row r="376" spans="1:11" x14ac:dyDescent="0.2">
      <c r="A376" t="s">
        <v>643</v>
      </c>
      <c r="B376" s="4">
        <v>46136</v>
      </c>
      <c r="C376" t="s">
        <v>451</v>
      </c>
      <c r="D376" t="s">
        <v>47</v>
      </c>
      <c r="E376" t="s">
        <v>91</v>
      </c>
      <c r="F376" t="s">
        <v>59</v>
      </c>
      <c r="G376" t="s">
        <v>111</v>
      </c>
      <c r="H376">
        <v>1</v>
      </c>
      <c r="I376" s="5">
        <v>75</v>
      </c>
      <c r="J376" t="s">
        <v>38</v>
      </c>
      <c r="K376" s="5">
        <v>75</v>
      </c>
    </row>
    <row r="377" spans="1:11" x14ac:dyDescent="0.2">
      <c r="A377" t="s">
        <v>644</v>
      </c>
      <c r="B377" s="4">
        <v>46137</v>
      </c>
      <c r="C377" t="s">
        <v>459</v>
      </c>
      <c r="D377" t="s">
        <v>41</v>
      </c>
      <c r="E377" t="s">
        <v>91</v>
      </c>
      <c r="F377" t="s">
        <v>36</v>
      </c>
      <c r="G377" t="s">
        <v>68</v>
      </c>
      <c r="H377">
        <v>2</v>
      </c>
      <c r="I377" s="5">
        <v>79</v>
      </c>
      <c r="J377" t="s">
        <v>38</v>
      </c>
      <c r="K377" s="5">
        <v>158</v>
      </c>
    </row>
    <row r="378" spans="1:11" x14ac:dyDescent="0.2">
      <c r="A378" t="s">
        <v>645</v>
      </c>
      <c r="B378" s="4">
        <v>46137</v>
      </c>
      <c r="C378" t="s">
        <v>554</v>
      </c>
      <c r="D378" t="s">
        <v>47</v>
      </c>
      <c r="E378" t="s">
        <v>91</v>
      </c>
      <c r="F378" t="s">
        <v>71</v>
      </c>
      <c r="G378" t="s">
        <v>88</v>
      </c>
      <c r="H378">
        <v>1</v>
      </c>
      <c r="I378" s="5">
        <v>78.75</v>
      </c>
      <c r="J378" t="s">
        <v>38</v>
      </c>
      <c r="K378" s="5">
        <v>78.75</v>
      </c>
    </row>
    <row r="379" spans="1:11" x14ac:dyDescent="0.2">
      <c r="A379" t="s">
        <v>646</v>
      </c>
      <c r="B379" s="4">
        <v>46137</v>
      </c>
      <c r="C379" t="s">
        <v>647</v>
      </c>
      <c r="D379" t="s">
        <v>58</v>
      </c>
      <c r="E379" t="s">
        <v>91</v>
      </c>
      <c r="F379" t="s">
        <v>43</v>
      </c>
      <c r="G379" t="s">
        <v>44</v>
      </c>
      <c r="H379">
        <v>2</v>
      </c>
      <c r="I379" s="5">
        <v>89.1</v>
      </c>
      <c r="J379" t="s">
        <v>38</v>
      </c>
      <c r="K379" s="5">
        <v>178.2</v>
      </c>
    </row>
    <row r="380" spans="1:11" x14ac:dyDescent="0.2">
      <c r="A380" t="s">
        <v>648</v>
      </c>
      <c r="B380" s="4">
        <v>46137</v>
      </c>
      <c r="C380" t="s">
        <v>596</v>
      </c>
      <c r="D380" t="s">
        <v>47</v>
      </c>
      <c r="E380" t="s">
        <v>35</v>
      </c>
      <c r="F380" t="s">
        <v>36</v>
      </c>
      <c r="G380" t="s">
        <v>85</v>
      </c>
      <c r="H380">
        <v>2</v>
      </c>
      <c r="I380" s="5">
        <v>89</v>
      </c>
      <c r="J380" t="s">
        <v>38</v>
      </c>
      <c r="K380" s="5">
        <v>178</v>
      </c>
    </row>
    <row r="381" spans="1:11" x14ac:dyDescent="0.2">
      <c r="A381" t="s">
        <v>649</v>
      </c>
      <c r="B381" s="4">
        <v>46137</v>
      </c>
      <c r="C381" t="s">
        <v>650</v>
      </c>
      <c r="D381" t="s">
        <v>41</v>
      </c>
      <c r="E381" t="s">
        <v>91</v>
      </c>
      <c r="F381" t="s">
        <v>43</v>
      </c>
      <c r="G381" t="s">
        <v>48</v>
      </c>
      <c r="H381">
        <v>1</v>
      </c>
      <c r="I381" s="5">
        <v>161.1</v>
      </c>
      <c r="J381" t="s">
        <v>65</v>
      </c>
      <c r="K381" s="5">
        <v>161.1</v>
      </c>
    </row>
    <row r="382" spans="1:11" x14ac:dyDescent="0.2">
      <c r="A382" t="s">
        <v>651</v>
      </c>
      <c r="B382" s="4">
        <v>46138</v>
      </c>
      <c r="C382" t="s">
        <v>652</v>
      </c>
      <c r="D382" t="s">
        <v>47</v>
      </c>
      <c r="E382" t="s">
        <v>42</v>
      </c>
      <c r="F382" t="s">
        <v>43</v>
      </c>
      <c r="G382" t="s">
        <v>142</v>
      </c>
      <c r="H382">
        <v>1</v>
      </c>
      <c r="I382" s="5">
        <v>28.8</v>
      </c>
      <c r="J382" t="s">
        <v>65</v>
      </c>
      <c r="K382" s="5">
        <v>28.8</v>
      </c>
    </row>
    <row r="383" spans="1:11" x14ac:dyDescent="0.2">
      <c r="A383" t="s">
        <v>653</v>
      </c>
      <c r="B383" s="4">
        <v>46138</v>
      </c>
      <c r="C383" t="s">
        <v>358</v>
      </c>
      <c r="D383" t="s">
        <v>34</v>
      </c>
      <c r="E383" t="s">
        <v>35</v>
      </c>
      <c r="F383" t="s">
        <v>43</v>
      </c>
      <c r="G383" t="s">
        <v>44</v>
      </c>
      <c r="H383">
        <v>1</v>
      </c>
      <c r="I383" s="5">
        <v>89.1</v>
      </c>
      <c r="J383" t="s">
        <v>65</v>
      </c>
      <c r="K383" s="5">
        <v>89.1</v>
      </c>
    </row>
    <row r="384" spans="1:11" x14ac:dyDescent="0.2">
      <c r="A384" t="s">
        <v>654</v>
      </c>
      <c r="B384" s="4">
        <v>46138</v>
      </c>
      <c r="C384" t="s">
        <v>655</v>
      </c>
      <c r="D384" t="s">
        <v>47</v>
      </c>
      <c r="E384" t="s">
        <v>42</v>
      </c>
      <c r="F384" t="s">
        <v>43</v>
      </c>
      <c r="G384" t="s">
        <v>142</v>
      </c>
      <c r="H384">
        <v>1</v>
      </c>
      <c r="I384" s="5">
        <v>28.8</v>
      </c>
      <c r="J384" t="s">
        <v>38</v>
      </c>
      <c r="K384" s="5">
        <v>28.8</v>
      </c>
    </row>
    <row r="385" spans="1:11" x14ac:dyDescent="0.2">
      <c r="A385" t="s">
        <v>656</v>
      </c>
      <c r="B385" s="4">
        <v>46139</v>
      </c>
      <c r="C385" t="s">
        <v>657</v>
      </c>
      <c r="D385" t="s">
        <v>34</v>
      </c>
      <c r="E385" t="s">
        <v>35</v>
      </c>
      <c r="F385" t="s">
        <v>71</v>
      </c>
      <c r="G385" t="s">
        <v>72</v>
      </c>
      <c r="H385">
        <v>1</v>
      </c>
      <c r="I385" s="5">
        <v>55</v>
      </c>
      <c r="J385" t="s">
        <v>38</v>
      </c>
      <c r="K385" s="5">
        <v>55</v>
      </c>
    </row>
    <row r="386" spans="1:11" x14ac:dyDescent="0.2">
      <c r="A386" t="s">
        <v>658</v>
      </c>
      <c r="B386" s="4">
        <v>46139</v>
      </c>
      <c r="C386" t="s">
        <v>503</v>
      </c>
      <c r="D386" t="s">
        <v>47</v>
      </c>
      <c r="E386" t="s">
        <v>42</v>
      </c>
      <c r="F386" t="s">
        <v>36</v>
      </c>
      <c r="G386" t="s">
        <v>37</v>
      </c>
      <c r="H386">
        <v>1</v>
      </c>
      <c r="I386" s="5">
        <v>35</v>
      </c>
      <c r="J386" t="s">
        <v>38</v>
      </c>
      <c r="K386" s="5">
        <v>35</v>
      </c>
    </row>
    <row r="387" spans="1:11" x14ac:dyDescent="0.2">
      <c r="A387" t="s">
        <v>659</v>
      </c>
      <c r="B387" s="4">
        <v>46139</v>
      </c>
      <c r="C387" t="s">
        <v>169</v>
      </c>
      <c r="D387" t="s">
        <v>47</v>
      </c>
      <c r="E387" t="s">
        <v>91</v>
      </c>
      <c r="F387" t="s">
        <v>51</v>
      </c>
      <c r="G387" t="s">
        <v>52</v>
      </c>
      <c r="H387">
        <v>1</v>
      </c>
      <c r="I387" s="5">
        <v>40.5</v>
      </c>
      <c r="J387" t="s">
        <v>61</v>
      </c>
      <c r="K387" s="5">
        <v>40.5</v>
      </c>
    </row>
    <row r="388" spans="1:11" x14ac:dyDescent="0.2">
      <c r="A388" t="s">
        <v>660</v>
      </c>
      <c r="B388" s="4">
        <v>46139</v>
      </c>
      <c r="C388" t="s">
        <v>118</v>
      </c>
      <c r="D388" t="s">
        <v>58</v>
      </c>
      <c r="E388" t="s">
        <v>35</v>
      </c>
      <c r="F388" t="s">
        <v>43</v>
      </c>
      <c r="G388" t="s">
        <v>77</v>
      </c>
      <c r="H388">
        <v>3</v>
      </c>
      <c r="I388" s="5">
        <v>45</v>
      </c>
      <c r="J388" t="s">
        <v>38</v>
      </c>
      <c r="K388" s="5">
        <v>135</v>
      </c>
    </row>
    <row r="389" spans="1:11" x14ac:dyDescent="0.2">
      <c r="A389" t="s">
        <v>661</v>
      </c>
      <c r="B389" s="4">
        <v>46139</v>
      </c>
      <c r="C389" t="s">
        <v>411</v>
      </c>
      <c r="D389" t="s">
        <v>58</v>
      </c>
      <c r="E389" t="s">
        <v>35</v>
      </c>
      <c r="F389" t="s">
        <v>43</v>
      </c>
      <c r="G389" t="s">
        <v>77</v>
      </c>
      <c r="H389">
        <v>3</v>
      </c>
      <c r="I389" s="5">
        <v>45</v>
      </c>
      <c r="J389" t="s">
        <v>38</v>
      </c>
      <c r="K389" s="5">
        <v>135</v>
      </c>
    </row>
    <row r="390" spans="1:11" x14ac:dyDescent="0.2">
      <c r="A390" t="s">
        <v>662</v>
      </c>
      <c r="B390" s="4">
        <v>46140</v>
      </c>
      <c r="C390" t="s">
        <v>663</v>
      </c>
      <c r="D390" t="s">
        <v>41</v>
      </c>
      <c r="E390" t="s">
        <v>35</v>
      </c>
      <c r="F390" t="s">
        <v>51</v>
      </c>
      <c r="G390" t="s">
        <v>99</v>
      </c>
      <c r="H390">
        <v>1</v>
      </c>
      <c r="I390" s="5">
        <v>18.899999999999999</v>
      </c>
      <c r="J390" t="s">
        <v>61</v>
      </c>
      <c r="K390" s="5">
        <v>18.899999999999999</v>
      </c>
    </row>
    <row r="391" spans="1:11" x14ac:dyDescent="0.2">
      <c r="A391" t="s">
        <v>664</v>
      </c>
      <c r="B391" s="4">
        <v>46140</v>
      </c>
      <c r="C391" t="s">
        <v>634</v>
      </c>
      <c r="D391" t="s">
        <v>47</v>
      </c>
      <c r="E391" t="s">
        <v>42</v>
      </c>
      <c r="F391" t="s">
        <v>59</v>
      </c>
      <c r="G391" t="s">
        <v>60</v>
      </c>
      <c r="H391">
        <v>1</v>
      </c>
      <c r="I391" s="5">
        <v>108</v>
      </c>
      <c r="J391" t="s">
        <v>38</v>
      </c>
      <c r="K391" s="5">
        <v>108</v>
      </c>
    </row>
    <row r="392" spans="1:11" x14ac:dyDescent="0.2">
      <c r="A392" t="s">
        <v>665</v>
      </c>
      <c r="B392" s="4">
        <v>46140</v>
      </c>
      <c r="C392" t="s">
        <v>46</v>
      </c>
      <c r="D392" t="s">
        <v>47</v>
      </c>
      <c r="E392" t="s">
        <v>91</v>
      </c>
      <c r="F392" t="s">
        <v>36</v>
      </c>
      <c r="G392" t="s">
        <v>68</v>
      </c>
      <c r="H392">
        <v>4</v>
      </c>
      <c r="I392" s="5">
        <v>79</v>
      </c>
      <c r="J392" t="s">
        <v>38</v>
      </c>
      <c r="K392" s="5">
        <v>316</v>
      </c>
    </row>
    <row r="393" spans="1:11" x14ac:dyDescent="0.2">
      <c r="A393" t="s">
        <v>666</v>
      </c>
      <c r="B393" s="4">
        <v>46140</v>
      </c>
      <c r="C393" t="s">
        <v>209</v>
      </c>
      <c r="D393" t="s">
        <v>47</v>
      </c>
      <c r="E393" t="s">
        <v>35</v>
      </c>
      <c r="F393" t="s">
        <v>43</v>
      </c>
      <c r="G393" t="s">
        <v>142</v>
      </c>
      <c r="H393">
        <v>3</v>
      </c>
      <c r="I393" s="5">
        <v>28.8</v>
      </c>
      <c r="J393" t="s">
        <v>38</v>
      </c>
      <c r="K393" s="5">
        <v>86.4</v>
      </c>
    </row>
    <row r="394" spans="1:11" x14ac:dyDescent="0.2">
      <c r="A394" t="s">
        <v>667</v>
      </c>
      <c r="B394" s="4">
        <v>46140</v>
      </c>
      <c r="C394" t="s">
        <v>167</v>
      </c>
      <c r="D394" t="s">
        <v>47</v>
      </c>
      <c r="E394" t="s">
        <v>35</v>
      </c>
      <c r="F394" t="s">
        <v>43</v>
      </c>
      <c r="G394" t="s">
        <v>142</v>
      </c>
      <c r="H394">
        <v>1</v>
      </c>
      <c r="I394" s="5">
        <v>32</v>
      </c>
      <c r="J394" t="s">
        <v>61</v>
      </c>
      <c r="K394" s="5">
        <v>32</v>
      </c>
    </row>
    <row r="395" spans="1:11" x14ac:dyDescent="0.2">
      <c r="A395" t="s">
        <v>668</v>
      </c>
      <c r="B395" s="4">
        <v>46141</v>
      </c>
      <c r="C395" t="s">
        <v>87</v>
      </c>
      <c r="D395" t="s">
        <v>34</v>
      </c>
      <c r="E395" t="s">
        <v>42</v>
      </c>
      <c r="F395" t="s">
        <v>36</v>
      </c>
      <c r="G395" t="s">
        <v>37</v>
      </c>
      <c r="H395">
        <v>2</v>
      </c>
      <c r="I395" s="5">
        <v>35</v>
      </c>
      <c r="J395" t="s">
        <v>38</v>
      </c>
      <c r="K395" s="5">
        <v>70</v>
      </c>
    </row>
    <row r="396" spans="1:11" x14ac:dyDescent="0.2">
      <c r="A396" t="s">
        <v>669</v>
      </c>
      <c r="B396" s="4">
        <v>46141</v>
      </c>
      <c r="C396" t="s">
        <v>110</v>
      </c>
      <c r="D396" t="s">
        <v>41</v>
      </c>
      <c r="E396" t="s">
        <v>42</v>
      </c>
      <c r="F396" t="s">
        <v>51</v>
      </c>
      <c r="G396" t="s">
        <v>55</v>
      </c>
      <c r="H396">
        <v>1</v>
      </c>
      <c r="I396" s="5">
        <v>22</v>
      </c>
      <c r="J396" t="s">
        <v>38</v>
      </c>
      <c r="K396" s="5">
        <v>22</v>
      </c>
    </row>
    <row r="397" spans="1:11" x14ac:dyDescent="0.2">
      <c r="A397" t="s">
        <v>670</v>
      </c>
      <c r="B397" s="4">
        <v>46141</v>
      </c>
      <c r="C397" t="s">
        <v>671</v>
      </c>
      <c r="D397" t="s">
        <v>47</v>
      </c>
      <c r="E397" t="s">
        <v>42</v>
      </c>
      <c r="F397" t="s">
        <v>71</v>
      </c>
      <c r="G397" t="s">
        <v>88</v>
      </c>
      <c r="H397">
        <v>4</v>
      </c>
      <c r="I397" s="5">
        <v>67.5</v>
      </c>
      <c r="J397" t="s">
        <v>38</v>
      </c>
      <c r="K397" s="5">
        <v>270</v>
      </c>
    </row>
    <row r="398" spans="1:11" x14ac:dyDescent="0.2">
      <c r="A398" t="s">
        <v>672</v>
      </c>
      <c r="B398" s="4">
        <v>46141</v>
      </c>
      <c r="C398" t="s">
        <v>449</v>
      </c>
      <c r="D398" t="s">
        <v>58</v>
      </c>
      <c r="E398" t="s">
        <v>35</v>
      </c>
      <c r="F398" t="s">
        <v>71</v>
      </c>
      <c r="G398" t="s">
        <v>88</v>
      </c>
      <c r="H398">
        <v>2</v>
      </c>
      <c r="I398" s="5">
        <v>75</v>
      </c>
      <c r="J398" t="s">
        <v>38</v>
      </c>
      <c r="K398" s="5">
        <v>150</v>
      </c>
    </row>
    <row r="399" spans="1:11" x14ac:dyDescent="0.2">
      <c r="A399" t="s">
        <v>673</v>
      </c>
      <c r="B399" s="4">
        <v>46141</v>
      </c>
      <c r="C399" t="s">
        <v>674</v>
      </c>
      <c r="D399" t="s">
        <v>47</v>
      </c>
      <c r="E399" t="s">
        <v>35</v>
      </c>
      <c r="F399" t="s">
        <v>36</v>
      </c>
      <c r="G399" t="s">
        <v>85</v>
      </c>
      <c r="H399">
        <v>3</v>
      </c>
      <c r="I399" s="5">
        <v>89</v>
      </c>
      <c r="J399" t="s">
        <v>38</v>
      </c>
      <c r="K399" s="5">
        <v>267</v>
      </c>
    </row>
    <row r="400" spans="1:11" x14ac:dyDescent="0.2">
      <c r="A400" t="s">
        <v>675</v>
      </c>
      <c r="B400" s="4">
        <v>46142</v>
      </c>
      <c r="C400" t="s">
        <v>444</v>
      </c>
      <c r="D400" t="s">
        <v>58</v>
      </c>
      <c r="E400" t="s">
        <v>35</v>
      </c>
      <c r="F400" t="s">
        <v>71</v>
      </c>
      <c r="G400" t="s">
        <v>88</v>
      </c>
      <c r="H400">
        <v>2</v>
      </c>
      <c r="I400" s="5">
        <v>78.75</v>
      </c>
      <c r="J400" t="s">
        <v>65</v>
      </c>
      <c r="K400" s="5">
        <v>157.5</v>
      </c>
    </row>
    <row r="401" spans="1:11" x14ac:dyDescent="0.2">
      <c r="A401" t="s">
        <v>676</v>
      </c>
      <c r="B401" s="4">
        <v>46142</v>
      </c>
      <c r="C401" t="s">
        <v>677</v>
      </c>
      <c r="D401" t="s">
        <v>47</v>
      </c>
      <c r="E401" t="s">
        <v>91</v>
      </c>
      <c r="F401" t="s">
        <v>51</v>
      </c>
      <c r="G401" t="s">
        <v>155</v>
      </c>
      <c r="H401">
        <v>3</v>
      </c>
      <c r="I401" s="5">
        <v>60</v>
      </c>
      <c r="J401" t="s">
        <v>38</v>
      </c>
      <c r="K401" s="5">
        <v>180</v>
      </c>
    </row>
    <row r="402" spans="1:11" x14ac:dyDescent="0.2">
      <c r="A402" t="s">
        <v>678</v>
      </c>
      <c r="B402" s="4">
        <v>46142</v>
      </c>
      <c r="C402" t="s">
        <v>679</v>
      </c>
      <c r="D402" t="s">
        <v>47</v>
      </c>
      <c r="E402" t="s">
        <v>91</v>
      </c>
      <c r="F402" t="s">
        <v>36</v>
      </c>
      <c r="G402" t="s">
        <v>37</v>
      </c>
      <c r="H402">
        <v>3</v>
      </c>
      <c r="I402" s="5">
        <v>35</v>
      </c>
      <c r="J402" t="s">
        <v>38</v>
      </c>
      <c r="K402" s="5">
        <v>105</v>
      </c>
    </row>
    <row r="403" spans="1:11" x14ac:dyDescent="0.2">
      <c r="A403" t="s">
        <v>680</v>
      </c>
      <c r="B403" s="4">
        <v>46142</v>
      </c>
      <c r="C403" t="s">
        <v>505</v>
      </c>
      <c r="D403" t="s">
        <v>47</v>
      </c>
      <c r="E403" t="s">
        <v>35</v>
      </c>
      <c r="F403" t="s">
        <v>59</v>
      </c>
      <c r="G403" t="s">
        <v>64</v>
      </c>
      <c r="H403">
        <v>5</v>
      </c>
      <c r="I403" s="5">
        <v>18</v>
      </c>
      <c r="J403" t="s">
        <v>38</v>
      </c>
      <c r="K403" s="5">
        <v>90</v>
      </c>
    </row>
    <row r="404" spans="1:11" x14ac:dyDescent="0.2">
      <c r="A404" t="s">
        <v>681</v>
      </c>
      <c r="B404" s="4">
        <v>46142</v>
      </c>
      <c r="C404" t="s">
        <v>63</v>
      </c>
      <c r="D404" t="s">
        <v>41</v>
      </c>
      <c r="E404" t="s">
        <v>35</v>
      </c>
      <c r="F404" t="s">
        <v>36</v>
      </c>
      <c r="G404" t="s">
        <v>152</v>
      </c>
      <c r="H404">
        <v>3</v>
      </c>
      <c r="I404" s="5">
        <v>59</v>
      </c>
      <c r="J404" t="s">
        <v>38</v>
      </c>
      <c r="K404" s="5">
        <v>177</v>
      </c>
    </row>
    <row r="405" spans="1:11" x14ac:dyDescent="0.2">
      <c r="A405" t="s">
        <v>682</v>
      </c>
      <c r="B405" s="4">
        <v>46143</v>
      </c>
      <c r="C405" t="s">
        <v>46</v>
      </c>
      <c r="D405" t="s">
        <v>34</v>
      </c>
      <c r="E405" t="s">
        <v>42</v>
      </c>
      <c r="F405" t="s">
        <v>71</v>
      </c>
      <c r="G405" t="s">
        <v>92</v>
      </c>
      <c r="H405">
        <v>2</v>
      </c>
      <c r="I405" s="5">
        <v>58.5</v>
      </c>
      <c r="J405" t="s">
        <v>38</v>
      </c>
      <c r="K405" s="5">
        <v>117</v>
      </c>
    </row>
    <row r="406" spans="1:11" x14ac:dyDescent="0.2">
      <c r="A406" t="s">
        <v>683</v>
      </c>
      <c r="B406" s="4">
        <v>46143</v>
      </c>
      <c r="C406" t="s">
        <v>379</v>
      </c>
      <c r="D406" t="s">
        <v>41</v>
      </c>
      <c r="E406" t="s">
        <v>35</v>
      </c>
      <c r="F406" t="s">
        <v>59</v>
      </c>
      <c r="G406" t="s">
        <v>60</v>
      </c>
      <c r="H406">
        <v>2</v>
      </c>
      <c r="I406" s="5">
        <v>108</v>
      </c>
      <c r="J406" t="s">
        <v>61</v>
      </c>
      <c r="K406" s="5">
        <v>216</v>
      </c>
    </row>
    <row r="407" spans="1:11" x14ac:dyDescent="0.2">
      <c r="A407" t="s">
        <v>684</v>
      </c>
      <c r="B407" s="4">
        <v>46144</v>
      </c>
      <c r="C407" t="s">
        <v>263</v>
      </c>
      <c r="D407" t="s">
        <v>47</v>
      </c>
      <c r="E407" t="s">
        <v>35</v>
      </c>
      <c r="F407" t="s">
        <v>51</v>
      </c>
      <c r="G407" t="s">
        <v>52</v>
      </c>
      <c r="H407">
        <v>1</v>
      </c>
      <c r="I407" s="5">
        <v>45</v>
      </c>
      <c r="J407" t="s">
        <v>38</v>
      </c>
      <c r="K407" s="5">
        <v>45</v>
      </c>
    </row>
    <row r="408" spans="1:11" x14ac:dyDescent="0.2">
      <c r="A408" t="s">
        <v>685</v>
      </c>
      <c r="B408" s="4">
        <v>46144</v>
      </c>
      <c r="C408" t="s">
        <v>465</v>
      </c>
      <c r="D408" t="s">
        <v>47</v>
      </c>
      <c r="E408" t="s">
        <v>35</v>
      </c>
      <c r="F408" t="s">
        <v>51</v>
      </c>
      <c r="G408" t="s">
        <v>99</v>
      </c>
      <c r="H408">
        <v>1</v>
      </c>
      <c r="I408" s="5">
        <v>18</v>
      </c>
      <c r="J408" t="s">
        <v>38</v>
      </c>
      <c r="K408" s="5">
        <v>18</v>
      </c>
    </row>
    <row r="409" spans="1:11" x14ac:dyDescent="0.2">
      <c r="A409" t="s">
        <v>686</v>
      </c>
      <c r="B409" s="4">
        <v>46145</v>
      </c>
      <c r="C409" t="s">
        <v>647</v>
      </c>
      <c r="D409" t="s">
        <v>114</v>
      </c>
      <c r="E409" t="s">
        <v>91</v>
      </c>
      <c r="F409" t="s">
        <v>36</v>
      </c>
      <c r="G409" t="s">
        <v>68</v>
      </c>
      <c r="H409">
        <v>1</v>
      </c>
      <c r="I409" s="5">
        <v>71.099999999999994</v>
      </c>
      <c r="J409" t="s">
        <v>38</v>
      </c>
      <c r="K409" s="5">
        <v>71.099999999999994</v>
      </c>
    </row>
    <row r="410" spans="1:11" x14ac:dyDescent="0.2">
      <c r="A410" t="s">
        <v>687</v>
      </c>
      <c r="B410" s="4">
        <v>46145</v>
      </c>
      <c r="C410" t="s">
        <v>483</v>
      </c>
      <c r="D410" t="s">
        <v>41</v>
      </c>
      <c r="E410" t="s">
        <v>42</v>
      </c>
      <c r="F410" t="s">
        <v>59</v>
      </c>
      <c r="G410" t="s">
        <v>111</v>
      </c>
      <c r="H410">
        <v>5</v>
      </c>
      <c r="I410" s="5">
        <v>78.75</v>
      </c>
      <c r="J410" t="s">
        <v>38</v>
      </c>
      <c r="K410" s="5">
        <v>393.75</v>
      </c>
    </row>
    <row r="411" spans="1:11" x14ac:dyDescent="0.2">
      <c r="A411" t="s">
        <v>688</v>
      </c>
      <c r="B411" s="4">
        <v>46146</v>
      </c>
      <c r="C411" t="s">
        <v>129</v>
      </c>
      <c r="D411" t="s">
        <v>114</v>
      </c>
      <c r="E411" t="s">
        <v>91</v>
      </c>
      <c r="F411" t="s">
        <v>36</v>
      </c>
      <c r="G411" t="s">
        <v>37</v>
      </c>
      <c r="H411">
        <v>3</v>
      </c>
      <c r="I411" s="5">
        <v>31.5</v>
      </c>
      <c r="J411" t="s">
        <v>38</v>
      </c>
      <c r="K411" s="5">
        <v>94.5</v>
      </c>
    </row>
    <row r="412" spans="1:11" x14ac:dyDescent="0.2">
      <c r="A412" t="s">
        <v>689</v>
      </c>
      <c r="B412" s="4">
        <v>46146</v>
      </c>
      <c r="C412" t="s">
        <v>54</v>
      </c>
      <c r="D412" t="s">
        <v>47</v>
      </c>
      <c r="E412" t="s">
        <v>42</v>
      </c>
      <c r="F412" t="s">
        <v>51</v>
      </c>
      <c r="G412" t="s">
        <v>99</v>
      </c>
      <c r="H412">
        <v>1</v>
      </c>
      <c r="I412" s="5">
        <v>18</v>
      </c>
      <c r="J412" t="s">
        <v>38</v>
      </c>
      <c r="K412" s="5">
        <v>18</v>
      </c>
    </row>
    <row r="413" spans="1:11" x14ac:dyDescent="0.2">
      <c r="A413" t="s">
        <v>690</v>
      </c>
      <c r="B413" s="4">
        <v>46146</v>
      </c>
      <c r="C413" t="s">
        <v>250</v>
      </c>
      <c r="D413" t="s">
        <v>47</v>
      </c>
      <c r="E413" t="s">
        <v>42</v>
      </c>
      <c r="F413" t="s">
        <v>43</v>
      </c>
      <c r="G413" t="s">
        <v>77</v>
      </c>
      <c r="H413">
        <v>5</v>
      </c>
      <c r="I413" s="5">
        <v>40.5</v>
      </c>
      <c r="J413" t="s">
        <v>61</v>
      </c>
      <c r="K413" s="5">
        <v>202.5</v>
      </c>
    </row>
    <row r="414" spans="1:11" x14ac:dyDescent="0.2">
      <c r="A414" t="s">
        <v>692</v>
      </c>
      <c r="B414" s="4">
        <v>46146</v>
      </c>
      <c r="C414" t="s">
        <v>565</v>
      </c>
      <c r="D414" t="s">
        <v>34</v>
      </c>
      <c r="E414" t="s">
        <v>91</v>
      </c>
      <c r="F414" t="s">
        <v>43</v>
      </c>
      <c r="G414" t="s">
        <v>44</v>
      </c>
      <c r="H414">
        <v>2</v>
      </c>
      <c r="I414" s="5">
        <v>89.1</v>
      </c>
      <c r="J414" t="s">
        <v>38</v>
      </c>
      <c r="K414" s="5">
        <v>178.2</v>
      </c>
    </row>
    <row r="415" spans="1:11" x14ac:dyDescent="0.2">
      <c r="A415" t="s">
        <v>693</v>
      </c>
      <c r="B415" s="4">
        <v>46147</v>
      </c>
      <c r="C415" t="s">
        <v>694</v>
      </c>
      <c r="D415" t="s">
        <v>47</v>
      </c>
      <c r="E415" t="s">
        <v>91</v>
      </c>
      <c r="F415" t="s">
        <v>36</v>
      </c>
      <c r="G415" t="s">
        <v>37</v>
      </c>
      <c r="H415">
        <v>2</v>
      </c>
      <c r="I415" s="5">
        <v>36.75</v>
      </c>
      <c r="J415" t="s">
        <v>38</v>
      </c>
      <c r="K415" s="5">
        <v>73.5</v>
      </c>
    </row>
    <row r="416" spans="1:11" x14ac:dyDescent="0.2">
      <c r="A416" t="s">
        <v>695</v>
      </c>
      <c r="B416" s="4">
        <v>46147</v>
      </c>
      <c r="C416" t="s">
        <v>696</v>
      </c>
      <c r="D416" t="s">
        <v>47</v>
      </c>
      <c r="E416" t="s">
        <v>91</v>
      </c>
      <c r="F416" t="s">
        <v>59</v>
      </c>
      <c r="G416" t="s">
        <v>106</v>
      </c>
      <c r="H416">
        <v>1</v>
      </c>
      <c r="I416" s="5">
        <v>29.4</v>
      </c>
      <c r="J416" t="s">
        <v>38</v>
      </c>
      <c r="K416" s="5">
        <v>29.4</v>
      </c>
    </row>
    <row r="417" spans="1:11" x14ac:dyDescent="0.2">
      <c r="A417" t="s">
        <v>697</v>
      </c>
      <c r="B417" s="4">
        <v>46147</v>
      </c>
      <c r="C417" t="s">
        <v>189</v>
      </c>
      <c r="D417" t="s">
        <v>58</v>
      </c>
      <c r="E417" t="s">
        <v>42</v>
      </c>
      <c r="F417" t="s">
        <v>43</v>
      </c>
      <c r="G417" t="s">
        <v>44</v>
      </c>
      <c r="H417">
        <v>5</v>
      </c>
      <c r="I417" s="5">
        <v>99</v>
      </c>
      <c r="J417" t="s">
        <v>38</v>
      </c>
      <c r="K417" s="5">
        <v>495</v>
      </c>
    </row>
    <row r="418" spans="1:11" x14ac:dyDescent="0.2">
      <c r="A418" t="s">
        <v>698</v>
      </c>
      <c r="B418" s="4">
        <v>46147</v>
      </c>
      <c r="C418" t="s">
        <v>211</v>
      </c>
      <c r="D418" t="s">
        <v>58</v>
      </c>
      <c r="E418" t="s">
        <v>35</v>
      </c>
      <c r="F418" t="s">
        <v>43</v>
      </c>
      <c r="G418" t="s">
        <v>48</v>
      </c>
      <c r="H418">
        <v>1</v>
      </c>
      <c r="I418" s="5">
        <v>161.1</v>
      </c>
      <c r="J418" t="s">
        <v>38</v>
      </c>
      <c r="K418" s="5">
        <v>161.1</v>
      </c>
    </row>
    <row r="419" spans="1:11" x14ac:dyDescent="0.2">
      <c r="A419" t="s">
        <v>699</v>
      </c>
      <c r="B419" s="4">
        <v>46147</v>
      </c>
      <c r="C419" t="s">
        <v>677</v>
      </c>
      <c r="D419" t="s">
        <v>34</v>
      </c>
      <c r="E419" t="s">
        <v>91</v>
      </c>
      <c r="F419" t="s">
        <v>36</v>
      </c>
      <c r="G419" t="s">
        <v>122</v>
      </c>
      <c r="H419">
        <v>5</v>
      </c>
      <c r="I419" s="5">
        <v>25</v>
      </c>
      <c r="J419" t="s">
        <v>61</v>
      </c>
      <c r="K419" s="5">
        <v>125</v>
      </c>
    </row>
    <row r="420" spans="1:11" x14ac:dyDescent="0.2">
      <c r="A420" t="s">
        <v>700</v>
      </c>
      <c r="B420" s="4">
        <v>46147</v>
      </c>
      <c r="C420" t="s">
        <v>341</v>
      </c>
      <c r="D420" t="s">
        <v>58</v>
      </c>
      <c r="E420" t="s">
        <v>35</v>
      </c>
      <c r="F420" t="s">
        <v>36</v>
      </c>
      <c r="G420" t="s">
        <v>122</v>
      </c>
      <c r="H420">
        <v>1</v>
      </c>
      <c r="I420" s="5">
        <v>22.5</v>
      </c>
      <c r="J420" t="s">
        <v>61</v>
      </c>
      <c r="K420" s="5">
        <v>22.5</v>
      </c>
    </row>
    <row r="421" spans="1:11" x14ac:dyDescent="0.2">
      <c r="A421" t="s">
        <v>701</v>
      </c>
      <c r="B421" s="4">
        <v>46147</v>
      </c>
      <c r="C421" t="s">
        <v>176</v>
      </c>
      <c r="D421" t="s">
        <v>34</v>
      </c>
      <c r="E421" t="s">
        <v>91</v>
      </c>
      <c r="F421" t="s">
        <v>51</v>
      </c>
      <c r="G421" t="s">
        <v>155</v>
      </c>
      <c r="H421">
        <v>2</v>
      </c>
      <c r="I421" s="5">
        <v>54</v>
      </c>
      <c r="J421" t="s">
        <v>38</v>
      </c>
      <c r="K421" s="5">
        <v>108</v>
      </c>
    </row>
    <row r="422" spans="1:11" x14ac:dyDescent="0.2">
      <c r="A422" t="s">
        <v>702</v>
      </c>
      <c r="B422" s="4">
        <v>46148</v>
      </c>
      <c r="C422" t="s">
        <v>696</v>
      </c>
      <c r="D422" t="s">
        <v>58</v>
      </c>
      <c r="E422" t="s">
        <v>42</v>
      </c>
      <c r="F422" t="s">
        <v>36</v>
      </c>
      <c r="G422" t="s">
        <v>68</v>
      </c>
      <c r="H422">
        <v>1</v>
      </c>
      <c r="I422" s="5">
        <v>71.099999999999994</v>
      </c>
      <c r="J422" t="s">
        <v>38</v>
      </c>
      <c r="K422" s="5">
        <v>71.099999999999994</v>
      </c>
    </row>
    <row r="423" spans="1:11" x14ac:dyDescent="0.2">
      <c r="A423" t="s">
        <v>703</v>
      </c>
      <c r="B423" s="4">
        <v>46148</v>
      </c>
      <c r="C423" t="s">
        <v>463</v>
      </c>
      <c r="D423" t="s">
        <v>34</v>
      </c>
      <c r="E423" t="s">
        <v>35</v>
      </c>
      <c r="F423" t="s">
        <v>51</v>
      </c>
      <c r="G423" t="s">
        <v>52</v>
      </c>
      <c r="H423">
        <v>4</v>
      </c>
      <c r="I423" s="5">
        <v>40.5</v>
      </c>
      <c r="J423" t="s">
        <v>38</v>
      </c>
      <c r="K423" s="5">
        <v>162</v>
      </c>
    </row>
    <row r="424" spans="1:11" x14ac:dyDescent="0.2">
      <c r="A424" t="s">
        <v>704</v>
      </c>
      <c r="B424" s="4">
        <v>46148</v>
      </c>
      <c r="C424" t="s">
        <v>151</v>
      </c>
      <c r="D424" t="s">
        <v>58</v>
      </c>
      <c r="E424" t="s">
        <v>35</v>
      </c>
      <c r="F424" t="s">
        <v>43</v>
      </c>
      <c r="G424" t="s">
        <v>44</v>
      </c>
      <c r="H424">
        <v>3</v>
      </c>
      <c r="I424" s="5">
        <v>103.95</v>
      </c>
      <c r="J424" t="s">
        <v>65</v>
      </c>
      <c r="K424" s="5">
        <v>311.85000000000002</v>
      </c>
    </row>
    <row r="425" spans="1:11" x14ac:dyDescent="0.2">
      <c r="A425" t="s">
        <v>705</v>
      </c>
      <c r="B425" s="4">
        <v>46148</v>
      </c>
      <c r="C425" t="s">
        <v>706</v>
      </c>
      <c r="D425" t="s">
        <v>41</v>
      </c>
      <c r="E425" t="s">
        <v>42</v>
      </c>
      <c r="F425" t="s">
        <v>36</v>
      </c>
      <c r="G425" t="s">
        <v>152</v>
      </c>
      <c r="H425">
        <v>4</v>
      </c>
      <c r="I425" s="5">
        <v>59</v>
      </c>
      <c r="J425" t="s">
        <v>38</v>
      </c>
      <c r="K425" s="5">
        <v>236</v>
      </c>
    </row>
    <row r="426" spans="1:11" x14ac:dyDescent="0.2">
      <c r="A426" t="s">
        <v>707</v>
      </c>
      <c r="B426" s="4">
        <v>46149</v>
      </c>
      <c r="C426" t="s">
        <v>444</v>
      </c>
      <c r="D426" t="s">
        <v>47</v>
      </c>
      <c r="E426" t="s">
        <v>35</v>
      </c>
      <c r="F426" t="s">
        <v>71</v>
      </c>
      <c r="G426" t="s">
        <v>95</v>
      </c>
      <c r="H426">
        <v>1</v>
      </c>
      <c r="I426" s="5">
        <v>20</v>
      </c>
      <c r="J426" t="s">
        <v>38</v>
      </c>
      <c r="K426" s="5">
        <v>20</v>
      </c>
    </row>
    <row r="427" spans="1:11" x14ac:dyDescent="0.2">
      <c r="A427" t="s">
        <v>708</v>
      </c>
      <c r="B427" s="4">
        <v>46150</v>
      </c>
      <c r="C427" t="s">
        <v>225</v>
      </c>
      <c r="D427" t="s">
        <v>58</v>
      </c>
      <c r="E427" t="s">
        <v>42</v>
      </c>
      <c r="F427" t="s">
        <v>36</v>
      </c>
      <c r="G427" t="s">
        <v>85</v>
      </c>
      <c r="H427">
        <v>2</v>
      </c>
      <c r="I427" s="5">
        <v>89</v>
      </c>
      <c r="J427" t="s">
        <v>61</v>
      </c>
      <c r="K427" s="5">
        <v>178</v>
      </c>
    </row>
    <row r="428" spans="1:11" x14ac:dyDescent="0.2">
      <c r="A428" t="s">
        <v>709</v>
      </c>
      <c r="B428" s="4">
        <v>46150</v>
      </c>
      <c r="C428" t="s">
        <v>40</v>
      </c>
      <c r="D428" t="s">
        <v>34</v>
      </c>
      <c r="E428" t="s">
        <v>35</v>
      </c>
      <c r="F428" t="s">
        <v>36</v>
      </c>
      <c r="G428" t="s">
        <v>68</v>
      </c>
      <c r="H428">
        <v>1</v>
      </c>
      <c r="I428" s="5">
        <v>79</v>
      </c>
      <c r="J428" t="s">
        <v>38</v>
      </c>
      <c r="K428" s="5">
        <v>79</v>
      </c>
    </row>
    <row r="429" spans="1:11" x14ac:dyDescent="0.2">
      <c r="A429" t="s">
        <v>710</v>
      </c>
      <c r="B429" s="4">
        <v>46151</v>
      </c>
      <c r="C429" t="s">
        <v>116</v>
      </c>
      <c r="D429" t="s">
        <v>47</v>
      </c>
      <c r="E429" t="s">
        <v>42</v>
      </c>
      <c r="F429" t="s">
        <v>36</v>
      </c>
      <c r="G429" t="s">
        <v>68</v>
      </c>
      <c r="H429">
        <v>3</v>
      </c>
      <c r="I429" s="5">
        <v>71.099999999999994</v>
      </c>
      <c r="J429" t="s">
        <v>38</v>
      </c>
      <c r="K429" s="5">
        <v>213.3</v>
      </c>
    </row>
    <row r="430" spans="1:11" x14ac:dyDescent="0.2">
      <c r="A430" t="s">
        <v>711</v>
      </c>
      <c r="B430" s="4">
        <v>46151</v>
      </c>
      <c r="C430" t="s">
        <v>189</v>
      </c>
      <c r="D430" t="s">
        <v>114</v>
      </c>
      <c r="E430" t="s">
        <v>42</v>
      </c>
      <c r="F430" t="s">
        <v>36</v>
      </c>
      <c r="G430" t="s">
        <v>85</v>
      </c>
      <c r="H430">
        <v>3</v>
      </c>
      <c r="I430" s="5">
        <v>93.45</v>
      </c>
      <c r="J430" t="s">
        <v>61</v>
      </c>
      <c r="K430" s="5">
        <v>280.35000000000002</v>
      </c>
    </row>
    <row r="431" spans="1:11" x14ac:dyDescent="0.2">
      <c r="A431" t="s">
        <v>712</v>
      </c>
      <c r="B431" s="4">
        <v>46151</v>
      </c>
      <c r="C431" t="s">
        <v>713</v>
      </c>
      <c r="D431" t="s">
        <v>47</v>
      </c>
      <c r="E431" t="s">
        <v>35</v>
      </c>
      <c r="F431" t="s">
        <v>43</v>
      </c>
      <c r="G431" t="s">
        <v>48</v>
      </c>
      <c r="H431">
        <v>2</v>
      </c>
      <c r="I431" s="5">
        <v>161.1</v>
      </c>
      <c r="J431" t="s">
        <v>38</v>
      </c>
      <c r="K431" s="5">
        <v>322.2</v>
      </c>
    </row>
    <row r="432" spans="1:11" x14ac:dyDescent="0.2">
      <c r="A432" t="s">
        <v>714</v>
      </c>
      <c r="B432" s="4">
        <v>46151</v>
      </c>
      <c r="C432" t="s">
        <v>419</v>
      </c>
      <c r="D432" t="s">
        <v>47</v>
      </c>
      <c r="E432" t="s">
        <v>91</v>
      </c>
      <c r="F432" t="s">
        <v>43</v>
      </c>
      <c r="G432" t="s">
        <v>142</v>
      </c>
      <c r="H432">
        <v>2</v>
      </c>
      <c r="I432" s="5">
        <v>33.6</v>
      </c>
      <c r="J432" t="s">
        <v>38</v>
      </c>
      <c r="K432" s="5">
        <v>67.2</v>
      </c>
    </row>
    <row r="433" spans="1:11" x14ac:dyDescent="0.2">
      <c r="A433" t="s">
        <v>715</v>
      </c>
      <c r="B433" s="4">
        <v>46152</v>
      </c>
      <c r="C433" t="s">
        <v>671</v>
      </c>
      <c r="D433" t="s">
        <v>47</v>
      </c>
      <c r="E433" t="s">
        <v>35</v>
      </c>
      <c r="F433" t="s">
        <v>36</v>
      </c>
      <c r="G433" t="s">
        <v>122</v>
      </c>
      <c r="H433">
        <v>2</v>
      </c>
      <c r="I433" s="5">
        <v>25</v>
      </c>
      <c r="J433" t="s">
        <v>38</v>
      </c>
      <c r="K433" s="5">
        <v>50</v>
      </c>
    </row>
    <row r="434" spans="1:11" x14ac:dyDescent="0.2">
      <c r="A434" t="s">
        <v>716</v>
      </c>
      <c r="B434" s="4">
        <v>46152</v>
      </c>
      <c r="C434" t="s">
        <v>163</v>
      </c>
      <c r="D434" t="s">
        <v>114</v>
      </c>
      <c r="E434" t="s">
        <v>42</v>
      </c>
      <c r="F434" t="s">
        <v>71</v>
      </c>
      <c r="G434" t="s">
        <v>137</v>
      </c>
      <c r="H434">
        <v>1</v>
      </c>
      <c r="I434" s="5">
        <v>115.5</v>
      </c>
      <c r="J434" t="s">
        <v>38</v>
      </c>
      <c r="K434" s="5">
        <v>115.5</v>
      </c>
    </row>
    <row r="435" spans="1:11" x14ac:dyDescent="0.2">
      <c r="A435" t="s">
        <v>717</v>
      </c>
      <c r="B435" s="4">
        <v>46152</v>
      </c>
      <c r="C435" t="s">
        <v>565</v>
      </c>
      <c r="D435" t="s">
        <v>58</v>
      </c>
      <c r="E435" t="s">
        <v>35</v>
      </c>
      <c r="F435" t="s">
        <v>59</v>
      </c>
      <c r="G435" t="s">
        <v>80</v>
      </c>
      <c r="H435">
        <v>2</v>
      </c>
      <c r="I435" s="5">
        <v>35</v>
      </c>
      <c r="J435" t="s">
        <v>38</v>
      </c>
      <c r="K435" s="5">
        <v>70</v>
      </c>
    </row>
    <row r="436" spans="1:11" x14ac:dyDescent="0.2">
      <c r="A436" t="s">
        <v>718</v>
      </c>
      <c r="B436" s="4">
        <v>46153</v>
      </c>
      <c r="C436" t="s">
        <v>74</v>
      </c>
      <c r="D436" t="s">
        <v>41</v>
      </c>
      <c r="E436" t="s">
        <v>91</v>
      </c>
      <c r="F436" t="s">
        <v>51</v>
      </c>
      <c r="G436" t="s">
        <v>155</v>
      </c>
      <c r="H436">
        <v>1</v>
      </c>
      <c r="I436" s="5">
        <v>60</v>
      </c>
      <c r="J436" t="s">
        <v>38</v>
      </c>
      <c r="K436" s="5">
        <v>60</v>
      </c>
    </row>
    <row r="437" spans="1:11" x14ac:dyDescent="0.2">
      <c r="A437" t="s">
        <v>719</v>
      </c>
      <c r="B437" s="4">
        <v>46153</v>
      </c>
      <c r="C437" t="s">
        <v>269</v>
      </c>
      <c r="D437" t="s">
        <v>47</v>
      </c>
      <c r="E437" t="s">
        <v>42</v>
      </c>
      <c r="F437" t="s">
        <v>59</v>
      </c>
      <c r="G437" t="s">
        <v>80</v>
      </c>
      <c r="H437">
        <v>1</v>
      </c>
      <c r="I437" s="5">
        <v>35</v>
      </c>
      <c r="J437" t="s">
        <v>38</v>
      </c>
      <c r="K437" s="5">
        <v>35</v>
      </c>
    </row>
    <row r="438" spans="1:11" x14ac:dyDescent="0.2">
      <c r="A438" t="s">
        <v>720</v>
      </c>
      <c r="B438" s="4">
        <v>46154</v>
      </c>
      <c r="C438" t="s">
        <v>271</v>
      </c>
      <c r="D438" t="s">
        <v>58</v>
      </c>
      <c r="E438" t="s">
        <v>91</v>
      </c>
      <c r="F438" t="s">
        <v>71</v>
      </c>
      <c r="G438" t="s">
        <v>92</v>
      </c>
      <c r="H438">
        <v>3</v>
      </c>
      <c r="I438" s="5">
        <v>58.5</v>
      </c>
      <c r="J438" t="s">
        <v>38</v>
      </c>
      <c r="K438" s="5">
        <v>175.5</v>
      </c>
    </row>
    <row r="439" spans="1:11" x14ac:dyDescent="0.2">
      <c r="A439" t="s">
        <v>721</v>
      </c>
      <c r="B439" s="4">
        <v>46155</v>
      </c>
      <c r="C439" t="s">
        <v>248</v>
      </c>
      <c r="D439" t="s">
        <v>41</v>
      </c>
      <c r="E439" t="s">
        <v>35</v>
      </c>
      <c r="F439" t="s">
        <v>36</v>
      </c>
      <c r="G439" t="s">
        <v>152</v>
      </c>
      <c r="H439">
        <v>1</v>
      </c>
      <c r="I439" s="5">
        <v>59</v>
      </c>
      <c r="J439" t="s">
        <v>61</v>
      </c>
      <c r="K439" s="5">
        <v>59</v>
      </c>
    </row>
    <row r="440" spans="1:11" x14ac:dyDescent="0.2">
      <c r="A440" t="s">
        <v>722</v>
      </c>
      <c r="B440" s="4">
        <v>46155</v>
      </c>
      <c r="C440" t="s">
        <v>325</v>
      </c>
      <c r="D440" t="s">
        <v>58</v>
      </c>
      <c r="E440" t="s">
        <v>42</v>
      </c>
      <c r="F440" t="s">
        <v>43</v>
      </c>
      <c r="G440" t="s">
        <v>142</v>
      </c>
      <c r="H440">
        <v>1</v>
      </c>
      <c r="I440" s="5">
        <v>32</v>
      </c>
      <c r="J440" t="s">
        <v>61</v>
      </c>
      <c r="K440" s="5">
        <v>32</v>
      </c>
    </row>
    <row r="441" spans="1:11" x14ac:dyDescent="0.2">
      <c r="A441" t="s">
        <v>723</v>
      </c>
      <c r="B441" s="4">
        <v>46155</v>
      </c>
      <c r="C441" t="s">
        <v>724</v>
      </c>
      <c r="D441" t="s">
        <v>114</v>
      </c>
      <c r="E441" t="s">
        <v>91</v>
      </c>
      <c r="F441" t="s">
        <v>71</v>
      </c>
      <c r="G441" t="s">
        <v>92</v>
      </c>
      <c r="H441">
        <v>2</v>
      </c>
      <c r="I441" s="5">
        <v>65</v>
      </c>
      <c r="J441" t="s">
        <v>61</v>
      </c>
      <c r="K441" s="5">
        <v>130</v>
      </c>
    </row>
    <row r="442" spans="1:11" x14ac:dyDescent="0.2">
      <c r="A442" t="s">
        <v>725</v>
      </c>
      <c r="B442" s="4">
        <v>46156</v>
      </c>
      <c r="C442" t="s">
        <v>169</v>
      </c>
      <c r="D442" t="s">
        <v>58</v>
      </c>
      <c r="E442" t="s">
        <v>35</v>
      </c>
      <c r="F442" t="s">
        <v>36</v>
      </c>
      <c r="G442" t="s">
        <v>85</v>
      </c>
      <c r="H442">
        <v>1</v>
      </c>
      <c r="I442" s="5">
        <v>89</v>
      </c>
      <c r="J442" t="s">
        <v>65</v>
      </c>
      <c r="K442" s="5">
        <v>89</v>
      </c>
    </row>
    <row r="443" spans="1:11" x14ac:dyDescent="0.2">
      <c r="A443" t="s">
        <v>726</v>
      </c>
      <c r="B443" s="4">
        <v>46156</v>
      </c>
      <c r="C443" t="s">
        <v>623</v>
      </c>
      <c r="D443" t="s">
        <v>34</v>
      </c>
      <c r="E443" t="s">
        <v>91</v>
      </c>
      <c r="F443" t="s">
        <v>43</v>
      </c>
      <c r="G443" t="s">
        <v>77</v>
      </c>
      <c r="H443">
        <v>1</v>
      </c>
      <c r="I443" s="5">
        <v>45</v>
      </c>
      <c r="J443" t="s">
        <v>38</v>
      </c>
      <c r="K443" s="5">
        <v>45</v>
      </c>
    </row>
    <row r="444" spans="1:11" x14ac:dyDescent="0.2">
      <c r="A444" t="s">
        <v>727</v>
      </c>
      <c r="B444" s="4">
        <v>46156</v>
      </c>
      <c r="C444" t="s">
        <v>76</v>
      </c>
      <c r="D444" t="s">
        <v>47</v>
      </c>
      <c r="E444" t="s">
        <v>35</v>
      </c>
      <c r="F444" t="s">
        <v>36</v>
      </c>
      <c r="G444" t="s">
        <v>122</v>
      </c>
      <c r="H444">
        <v>2</v>
      </c>
      <c r="I444" s="5">
        <v>25</v>
      </c>
      <c r="J444" t="s">
        <v>61</v>
      </c>
      <c r="K444" s="5">
        <v>50</v>
      </c>
    </row>
    <row r="445" spans="1:11" x14ac:dyDescent="0.2">
      <c r="A445" t="s">
        <v>728</v>
      </c>
      <c r="B445" s="4">
        <v>46156</v>
      </c>
      <c r="C445" t="s">
        <v>611</v>
      </c>
      <c r="D445" t="s">
        <v>58</v>
      </c>
      <c r="E445" t="s">
        <v>35</v>
      </c>
      <c r="F445" t="s">
        <v>43</v>
      </c>
      <c r="G445" t="s">
        <v>142</v>
      </c>
      <c r="H445">
        <v>1</v>
      </c>
      <c r="I445" s="5">
        <v>32</v>
      </c>
      <c r="J445" t="s">
        <v>38</v>
      </c>
      <c r="K445" s="5">
        <v>32</v>
      </c>
    </row>
    <row r="446" spans="1:11" x14ac:dyDescent="0.2">
      <c r="A446" t="s">
        <v>729</v>
      </c>
      <c r="B446" s="4">
        <v>46156</v>
      </c>
      <c r="C446" t="s">
        <v>730</v>
      </c>
      <c r="D446" t="s">
        <v>47</v>
      </c>
      <c r="E446" t="s">
        <v>35</v>
      </c>
      <c r="F446" t="s">
        <v>36</v>
      </c>
      <c r="G446" t="s">
        <v>152</v>
      </c>
      <c r="H446">
        <v>2</v>
      </c>
      <c r="I446" s="5">
        <v>61.95</v>
      </c>
      <c r="J446" t="s">
        <v>38</v>
      </c>
      <c r="K446" s="5">
        <v>123.9</v>
      </c>
    </row>
    <row r="447" spans="1:11" x14ac:dyDescent="0.2">
      <c r="A447" t="s">
        <v>731</v>
      </c>
      <c r="B447" s="4">
        <v>46156</v>
      </c>
      <c r="C447" t="s">
        <v>127</v>
      </c>
      <c r="D447" t="s">
        <v>114</v>
      </c>
      <c r="E447" t="s">
        <v>35</v>
      </c>
      <c r="F447" t="s">
        <v>59</v>
      </c>
      <c r="G447" t="s">
        <v>60</v>
      </c>
      <c r="H447">
        <v>1</v>
      </c>
      <c r="I447" s="5">
        <v>120</v>
      </c>
      <c r="J447" t="s">
        <v>61</v>
      </c>
      <c r="K447" s="5">
        <v>120</v>
      </c>
    </row>
    <row r="448" spans="1:11" x14ac:dyDescent="0.2">
      <c r="A448" t="s">
        <v>732</v>
      </c>
      <c r="B448" s="4">
        <v>46156</v>
      </c>
      <c r="C448" t="s">
        <v>228</v>
      </c>
      <c r="D448" t="s">
        <v>47</v>
      </c>
      <c r="E448" t="s">
        <v>35</v>
      </c>
      <c r="F448" t="s">
        <v>36</v>
      </c>
      <c r="G448" t="s">
        <v>152</v>
      </c>
      <c r="H448">
        <v>4</v>
      </c>
      <c r="I448" s="5">
        <v>61.95</v>
      </c>
      <c r="J448" t="s">
        <v>61</v>
      </c>
      <c r="K448" s="5">
        <v>247.8</v>
      </c>
    </row>
    <row r="449" spans="1:11" x14ac:dyDescent="0.2">
      <c r="A449" t="s">
        <v>733</v>
      </c>
      <c r="B449" s="4">
        <v>46156</v>
      </c>
      <c r="C449" t="s">
        <v>671</v>
      </c>
      <c r="D449" t="s">
        <v>47</v>
      </c>
      <c r="E449" t="s">
        <v>35</v>
      </c>
      <c r="F449" t="s">
        <v>71</v>
      </c>
      <c r="G449" t="s">
        <v>95</v>
      </c>
      <c r="H449">
        <v>1</v>
      </c>
      <c r="I449" s="5">
        <v>20</v>
      </c>
      <c r="J449" t="s">
        <v>38</v>
      </c>
      <c r="K449" s="5">
        <v>20</v>
      </c>
    </row>
    <row r="450" spans="1:11" x14ac:dyDescent="0.2">
      <c r="A450" t="s">
        <v>734</v>
      </c>
      <c r="B450" s="4">
        <v>46157</v>
      </c>
      <c r="C450" t="s">
        <v>171</v>
      </c>
      <c r="D450" t="s">
        <v>47</v>
      </c>
      <c r="E450" t="s">
        <v>35</v>
      </c>
      <c r="F450" t="s">
        <v>71</v>
      </c>
      <c r="G450" t="s">
        <v>88</v>
      </c>
      <c r="H450">
        <v>1</v>
      </c>
      <c r="I450" s="5">
        <v>75</v>
      </c>
      <c r="J450" t="s">
        <v>38</v>
      </c>
      <c r="K450" s="5">
        <v>75</v>
      </c>
    </row>
    <row r="451" spans="1:11" x14ac:dyDescent="0.2">
      <c r="A451" t="s">
        <v>735</v>
      </c>
      <c r="B451" s="4">
        <v>46158</v>
      </c>
      <c r="C451" t="s">
        <v>736</v>
      </c>
      <c r="D451" t="s">
        <v>114</v>
      </c>
      <c r="E451" t="s">
        <v>42</v>
      </c>
      <c r="F451" t="s">
        <v>59</v>
      </c>
      <c r="G451" t="s">
        <v>106</v>
      </c>
      <c r="H451">
        <v>1</v>
      </c>
      <c r="I451" s="5">
        <v>25.2</v>
      </c>
      <c r="J451" t="s">
        <v>65</v>
      </c>
      <c r="K451" s="5">
        <v>25.2</v>
      </c>
    </row>
    <row r="452" spans="1:11" x14ac:dyDescent="0.2">
      <c r="A452" t="s">
        <v>737</v>
      </c>
      <c r="B452" s="4">
        <v>46158</v>
      </c>
      <c r="C452" t="s">
        <v>314</v>
      </c>
      <c r="D452" t="s">
        <v>47</v>
      </c>
      <c r="E452" t="s">
        <v>42</v>
      </c>
      <c r="F452" t="s">
        <v>51</v>
      </c>
      <c r="G452" t="s">
        <v>119</v>
      </c>
      <c r="H452">
        <v>5</v>
      </c>
      <c r="I452" s="5">
        <v>30</v>
      </c>
      <c r="J452" t="s">
        <v>61</v>
      </c>
      <c r="K452" s="5">
        <v>150</v>
      </c>
    </row>
    <row r="453" spans="1:11" x14ac:dyDescent="0.2">
      <c r="A453" t="s">
        <v>738</v>
      </c>
      <c r="B453" s="4">
        <v>46158</v>
      </c>
      <c r="C453" t="s">
        <v>451</v>
      </c>
      <c r="D453" t="s">
        <v>41</v>
      </c>
      <c r="E453" t="s">
        <v>35</v>
      </c>
      <c r="F453" t="s">
        <v>43</v>
      </c>
      <c r="G453" t="s">
        <v>77</v>
      </c>
      <c r="H453">
        <v>2</v>
      </c>
      <c r="I453" s="5">
        <v>40.5</v>
      </c>
      <c r="J453" t="s">
        <v>38</v>
      </c>
      <c r="K453" s="5">
        <v>81</v>
      </c>
    </row>
    <row r="454" spans="1:11" x14ac:dyDescent="0.2">
      <c r="A454" t="s">
        <v>739</v>
      </c>
      <c r="B454" s="4">
        <v>46158</v>
      </c>
      <c r="C454" t="s">
        <v>196</v>
      </c>
      <c r="D454" t="s">
        <v>47</v>
      </c>
      <c r="E454" t="s">
        <v>35</v>
      </c>
      <c r="F454" t="s">
        <v>36</v>
      </c>
      <c r="G454" t="s">
        <v>122</v>
      </c>
      <c r="H454">
        <v>2</v>
      </c>
      <c r="I454" s="5">
        <v>25</v>
      </c>
      <c r="J454" t="s">
        <v>65</v>
      </c>
      <c r="K454" s="5">
        <v>50</v>
      </c>
    </row>
    <row r="455" spans="1:11" x14ac:dyDescent="0.2">
      <c r="A455" t="s">
        <v>740</v>
      </c>
      <c r="B455" s="4">
        <v>46158</v>
      </c>
      <c r="C455" t="s">
        <v>125</v>
      </c>
      <c r="D455" t="s">
        <v>47</v>
      </c>
      <c r="E455" t="s">
        <v>42</v>
      </c>
      <c r="F455" t="s">
        <v>43</v>
      </c>
      <c r="G455" t="s">
        <v>77</v>
      </c>
      <c r="H455">
        <v>1</v>
      </c>
      <c r="I455" s="5">
        <v>45</v>
      </c>
      <c r="J455" t="s">
        <v>61</v>
      </c>
      <c r="K455" s="5">
        <v>45</v>
      </c>
    </row>
    <row r="456" spans="1:11" x14ac:dyDescent="0.2">
      <c r="A456" t="s">
        <v>741</v>
      </c>
      <c r="B456" s="4">
        <v>46159</v>
      </c>
      <c r="C456" t="s">
        <v>706</v>
      </c>
      <c r="D456" t="s">
        <v>47</v>
      </c>
      <c r="E456" t="s">
        <v>35</v>
      </c>
      <c r="F456" t="s">
        <v>59</v>
      </c>
      <c r="G456" t="s">
        <v>60</v>
      </c>
      <c r="H456">
        <v>1</v>
      </c>
      <c r="I456" s="5">
        <v>126</v>
      </c>
      <c r="J456" t="s">
        <v>38</v>
      </c>
      <c r="K456" s="5">
        <v>126</v>
      </c>
    </row>
    <row r="457" spans="1:11" x14ac:dyDescent="0.2">
      <c r="A457" t="s">
        <v>742</v>
      </c>
      <c r="B457" s="4">
        <v>46160</v>
      </c>
      <c r="C457" t="s">
        <v>736</v>
      </c>
      <c r="D457" t="s">
        <v>47</v>
      </c>
      <c r="E457" t="s">
        <v>35</v>
      </c>
      <c r="F457" t="s">
        <v>59</v>
      </c>
      <c r="G457" t="s">
        <v>80</v>
      </c>
      <c r="H457">
        <v>1</v>
      </c>
      <c r="I457" s="5">
        <v>35</v>
      </c>
      <c r="J457" t="s">
        <v>61</v>
      </c>
      <c r="K457" s="5">
        <v>35</v>
      </c>
    </row>
    <row r="458" spans="1:11" x14ac:dyDescent="0.2">
      <c r="A458" t="s">
        <v>743</v>
      </c>
      <c r="B458" s="4">
        <v>46160</v>
      </c>
      <c r="C458" t="s">
        <v>214</v>
      </c>
      <c r="D458" t="s">
        <v>58</v>
      </c>
      <c r="E458" t="s">
        <v>35</v>
      </c>
      <c r="F458" t="s">
        <v>71</v>
      </c>
      <c r="G458" t="s">
        <v>95</v>
      </c>
      <c r="H458">
        <v>2</v>
      </c>
      <c r="I458" s="5">
        <v>20</v>
      </c>
      <c r="J458" t="s">
        <v>65</v>
      </c>
      <c r="K458" s="5">
        <v>40</v>
      </c>
    </row>
    <row r="459" spans="1:11" x14ac:dyDescent="0.2">
      <c r="A459" t="s">
        <v>744</v>
      </c>
      <c r="B459" s="4">
        <v>46160</v>
      </c>
      <c r="C459" t="s">
        <v>745</v>
      </c>
      <c r="D459" t="s">
        <v>34</v>
      </c>
      <c r="E459" t="s">
        <v>35</v>
      </c>
      <c r="F459" t="s">
        <v>43</v>
      </c>
      <c r="G459" t="s">
        <v>83</v>
      </c>
      <c r="H459">
        <v>1</v>
      </c>
      <c r="I459" s="5">
        <v>39</v>
      </c>
      <c r="J459" t="s">
        <v>38</v>
      </c>
      <c r="K459" s="5">
        <v>39</v>
      </c>
    </row>
    <row r="460" spans="1:11" x14ac:dyDescent="0.2">
      <c r="A460" t="s">
        <v>746</v>
      </c>
      <c r="B460" s="4">
        <v>46161</v>
      </c>
      <c r="C460" t="s">
        <v>571</v>
      </c>
      <c r="D460" t="s">
        <v>41</v>
      </c>
      <c r="E460" t="s">
        <v>91</v>
      </c>
      <c r="F460" t="s">
        <v>51</v>
      </c>
      <c r="G460" t="s">
        <v>119</v>
      </c>
      <c r="H460">
        <v>1</v>
      </c>
      <c r="I460" s="5">
        <v>30</v>
      </c>
      <c r="J460" t="s">
        <v>38</v>
      </c>
      <c r="K460" s="5">
        <v>30</v>
      </c>
    </row>
    <row r="461" spans="1:11" x14ac:dyDescent="0.2">
      <c r="A461" t="s">
        <v>747</v>
      </c>
      <c r="B461" s="4">
        <v>46161</v>
      </c>
      <c r="C461" t="s">
        <v>339</v>
      </c>
      <c r="D461" t="s">
        <v>41</v>
      </c>
      <c r="E461" t="s">
        <v>35</v>
      </c>
      <c r="F461" t="s">
        <v>51</v>
      </c>
      <c r="G461" t="s">
        <v>55</v>
      </c>
      <c r="H461">
        <v>2</v>
      </c>
      <c r="I461" s="5">
        <v>22</v>
      </c>
      <c r="J461" t="s">
        <v>61</v>
      </c>
      <c r="K461" s="5">
        <v>44</v>
      </c>
    </row>
    <row r="462" spans="1:11" x14ac:dyDescent="0.2">
      <c r="A462" t="s">
        <v>748</v>
      </c>
      <c r="B462" s="4">
        <v>46161</v>
      </c>
      <c r="C462" t="s">
        <v>411</v>
      </c>
      <c r="D462" t="s">
        <v>41</v>
      </c>
      <c r="E462" t="s">
        <v>42</v>
      </c>
      <c r="F462" t="s">
        <v>36</v>
      </c>
      <c r="G462" t="s">
        <v>37</v>
      </c>
      <c r="H462">
        <v>5</v>
      </c>
      <c r="I462" s="5">
        <v>35</v>
      </c>
      <c r="J462" t="s">
        <v>38</v>
      </c>
      <c r="K462" s="5">
        <v>175</v>
      </c>
    </row>
    <row r="463" spans="1:11" x14ac:dyDescent="0.2">
      <c r="A463" t="s">
        <v>749</v>
      </c>
      <c r="B463" s="4">
        <v>46161</v>
      </c>
      <c r="C463" t="s">
        <v>171</v>
      </c>
      <c r="D463" t="s">
        <v>47</v>
      </c>
      <c r="E463" t="s">
        <v>35</v>
      </c>
      <c r="F463" t="s">
        <v>71</v>
      </c>
      <c r="G463" t="s">
        <v>88</v>
      </c>
      <c r="H463">
        <v>2</v>
      </c>
      <c r="I463" s="5">
        <v>75</v>
      </c>
      <c r="J463" t="s">
        <v>65</v>
      </c>
      <c r="K463" s="5">
        <v>150</v>
      </c>
    </row>
    <row r="464" spans="1:11" x14ac:dyDescent="0.2">
      <c r="A464" t="s">
        <v>750</v>
      </c>
      <c r="B464" s="4">
        <v>46161</v>
      </c>
      <c r="C464" t="s">
        <v>751</v>
      </c>
      <c r="D464" t="s">
        <v>47</v>
      </c>
      <c r="E464" t="s">
        <v>91</v>
      </c>
      <c r="F464" t="s">
        <v>51</v>
      </c>
      <c r="G464" t="s">
        <v>155</v>
      </c>
      <c r="H464">
        <v>1</v>
      </c>
      <c r="I464" s="5">
        <v>54</v>
      </c>
      <c r="J464" t="s">
        <v>61</v>
      </c>
      <c r="K464" s="5">
        <v>54</v>
      </c>
    </row>
    <row r="465" spans="1:11" x14ac:dyDescent="0.2">
      <c r="A465" t="s">
        <v>752</v>
      </c>
      <c r="B465" s="4">
        <v>46162</v>
      </c>
      <c r="C465" t="s">
        <v>76</v>
      </c>
      <c r="D465" t="s">
        <v>34</v>
      </c>
      <c r="E465" t="s">
        <v>35</v>
      </c>
      <c r="F465" t="s">
        <v>43</v>
      </c>
      <c r="G465" t="s">
        <v>48</v>
      </c>
      <c r="H465">
        <v>1</v>
      </c>
      <c r="I465" s="5">
        <v>187.95</v>
      </c>
      <c r="J465" t="s">
        <v>65</v>
      </c>
      <c r="K465" s="5">
        <v>187.95</v>
      </c>
    </row>
    <row r="466" spans="1:11" x14ac:dyDescent="0.2">
      <c r="A466" t="s">
        <v>753</v>
      </c>
      <c r="B466" s="4">
        <v>46162</v>
      </c>
      <c r="C466" t="s">
        <v>108</v>
      </c>
      <c r="D466" t="s">
        <v>58</v>
      </c>
      <c r="E466" t="s">
        <v>91</v>
      </c>
      <c r="F466" t="s">
        <v>59</v>
      </c>
      <c r="G466" t="s">
        <v>60</v>
      </c>
      <c r="H466">
        <v>3</v>
      </c>
      <c r="I466" s="5">
        <v>120</v>
      </c>
      <c r="J466" t="s">
        <v>65</v>
      </c>
      <c r="K466" s="5">
        <v>360</v>
      </c>
    </row>
    <row r="467" spans="1:11" x14ac:dyDescent="0.2">
      <c r="A467" t="s">
        <v>754</v>
      </c>
      <c r="B467" s="4">
        <v>46162</v>
      </c>
      <c r="C467" t="s">
        <v>449</v>
      </c>
      <c r="D467" t="s">
        <v>47</v>
      </c>
      <c r="E467" t="s">
        <v>91</v>
      </c>
      <c r="F467" t="s">
        <v>43</v>
      </c>
      <c r="G467" t="s">
        <v>142</v>
      </c>
      <c r="H467">
        <v>3</v>
      </c>
      <c r="I467" s="5">
        <v>33.6</v>
      </c>
      <c r="J467" t="s">
        <v>65</v>
      </c>
      <c r="K467" s="5">
        <v>100.8</v>
      </c>
    </row>
    <row r="468" spans="1:11" x14ac:dyDescent="0.2">
      <c r="A468" t="s">
        <v>755</v>
      </c>
      <c r="B468" s="4">
        <v>46163</v>
      </c>
      <c r="C468" t="s">
        <v>679</v>
      </c>
      <c r="D468" t="s">
        <v>47</v>
      </c>
      <c r="E468" t="s">
        <v>42</v>
      </c>
      <c r="F468" t="s">
        <v>36</v>
      </c>
      <c r="G468" t="s">
        <v>152</v>
      </c>
      <c r="H468">
        <v>1</v>
      </c>
      <c r="I468" s="5">
        <v>59</v>
      </c>
      <c r="J468" t="s">
        <v>38</v>
      </c>
      <c r="K468" s="5">
        <v>59</v>
      </c>
    </row>
    <row r="469" spans="1:11" x14ac:dyDescent="0.2">
      <c r="A469" t="s">
        <v>756</v>
      </c>
      <c r="B469" s="4">
        <v>46163</v>
      </c>
      <c r="C469" t="s">
        <v>402</v>
      </c>
      <c r="D469" t="s">
        <v>41</v>
      </c>
      <c r="E469" t="s">
        <v>42</v>
      </c>
      <c r="F469" t="s">
        <v>43</v>
      </c>
      <c r="G469" t="s">
        <v>44</v>
      </c>
      <c r="H469">
        <v>3</v>
      </c>
      <c r="I469" s="5">
        <v>103.95</v>
      </c>
      <c r="J469" t="s">
        <v>38</v>
      </c>
      <c r="K469" s="5">
        <v>311.85000000000002</v>
      </c>
    </row>
    <row r="470" spans="1:11" x14ac:dyDescent="0.2">
      <c r="A470" t="s">
        <v>757</v>
      </c>
      <c r="B470" s="4">
        <v>46164</v>
      </c>
      <c r="C470" t="s">
        <v>232</v>
      </c>
      <c r="D470" t="s">
        <v>114</v>
      </c>
      <c r="E470" t="s">
        <v>35</v>
      </c>
      <c r="F470" t="s">
        <v>43</v>
      </c>
      <c r="G470" t="s">
        <v>142</v>
      </c>
      <c r="H470">
        <v>2</v>
      </c>
      <c r="I470" s="5">
        <v>32</v>
      </c>
      <c r="J470" t="s">
        <v>65</v>
      </c>
      <c r="K470" s="5">
        <v>64</v>
      </c>
    </row>
    <row r="471" spans="1:11" x14ac:dyDescent="0.2">
      <c r="A471" t="s">
        <v>758</v>
      </c>
      <c r="B471" s="4">
        <v>46164</v>
      </c>
      <c r="C471" t="s">
        <v>588</v>
      </c>
      <c r="D471" t="s">
        <v>58</v>
      </c>
      <c r="E471" t="s">
        <v>35</v>
      </c>
      <c r="F471" t="s">
        <v>36</v>
      </c>
      <c r="G471" t="s">
        <v>152</v>
      </c>
      <c r="H471">
        <v>3</v>
      </c>
      <c r="I471" s="5">
        <v>59</v>
      </c>
      <c r="J471" t="s">
        <v>61</v>
      </c>
      <c r="K471" s="5">
        <v>177</v>
      </c>
    </row>
    <row r="472" spans="1:11" x14ac:dyDescent="0.2">
      <c r="A472" t="s">
        <v>759</v>
      </c>
      <c r="B472" s="4">
        <v>46165</v>
      </c>
      <c r="C472" t="s">
        <v>376</v>
      </c>
      <c r="D472" t="s">
        <v>47</v>
      </c>
      <c r="E472" t="s">
        <v>91</v>
      </c>
      <c r="F472" t="s">
        <v>51</v>
      </c>
      <c r="G472" t="s">
        <v>155</v>
      </c>
      <c r="H472">
        <v>4</v>
      </c>
      <c r="I472" s="5">
        <v>60</v>
      </c>
      <c r="J472" t="s">
        <v>61</v>
      </c>
      <c r="K472" s="5">
        <v>240</v>
      </c>
    </row>
    <row r="473" spans="1:11" x14ac:dyDescent="0.2">
      <c r="A473" t="s">
        <v>760</v>
      </c>
      <c r="B473" s="4">
        <v>46165</v>
      </c>
      <c r="C473" t="s">
        <v>341</v>
      </c>
      <c r="D473" t="s">
        <v>41</v>
      </c>
      <c r="E473" t="s">
        <v>91</v>
      </c>
      <c r="F473" t="s">
        <v>71</v>
      </c>
      <c r="G473" t="s">
        <v>95</v>
      </c>
      <c r="H473">
        <v>1</v>
      </c>
      <c r="I473" s="5">
        <v>20</v>
      </c>
      <c r="J473" t="s">
        <v>61</v>
      </c>
      <c r="K473" s="5">
        <v>20</v>
      </c>
    </row>
    <row r="474" spans="1:11" x14ac:dyDescent="0.2">
      <c r="A474" t="s">
        <v>761</v>
      </c>
      <c r="B474" s="4">
        <v>46165</v>
      </c>
      <c r="C474" t="s">
        <v>762</v>
      </c>
      <c r="D474" t="s">
        <v>41</v>
      </c>
      <c r="E474" t="s">
        <v>35</v>
      </c>
      <c r="F474" t="s">
        <v>71</v>
      </c>
      <c r="G474" t="s">
        <v>72</v>
      </c>
      <c r="H474">
        <v>1</v>
      </c>
      <c r="I474" s="5">
        <v>55</v>
      </c>
      <c r="J474" t="s">
        <v>61</v>
      </c>
      <c r="K474" s="5">
        <v>55</v>
      </c>
    </row>
    <row r="475" spans="1:11" x14ac:dyDescent="0.2">
      <c r="A475" t="s">
        <v>763</v>
      </c>
      <c r="B475" s="4">
        <v>46166</v>
      </c>
      <c r="C475" t="s">
        <v>638</v>
      </c>
      <c r="D475" t="s">
        <v>41</v>
      </c>
      <c r="E475" t="s">
        <v>35</v>
      </c>
      <c r="F475" t="s">
        <v>36</v>
      </c>
      <c r="G475" t="s">
        <v>37</v>
      </c>
      <c r="H475">
        <v>2</v>
      </c>
      <c r="I475" s="5">
        <v>31.5</v>
      </c>
      <c r="J475" t="s">
        <v>65</v>
      </c>
      <c r="K475" s="5">
        <v>63</v>
      </c>
    </row>
    <row r="476" spans="1:11" x14ac:dyDescent="0.2">
      <c r="A476" t="s">
        <v>764</v>
      </c>
      <c r="B476" s="4">
        <v>46166</v>
      </c>
      <c r="C476" t="s">
        <v>461</v>
      </c>
      <c r="D476" t="s">
        <v>47</v>
      </c>
      <c r="E476" t="s">
        <v>35</v>
      </c>
      <c r="F476" t="s">
        <v>51</v>
      </c>
      <c r="G476" t="s">
        <v>155</v>
      </c>
      <c r="H476">
        <v>2</v>
      </c>
      <c r="I476" s="5">
        <v>54</v>
      </c>
      <c r="J476" t="s">
        <v>61</v>
      </c>
      <c r="K476" s="5">
        <v>108</v>
      </c>
    </row>
    <row r="477" spans="1:11" x14ac:dyDescent="0.2">
      <c r="A477" t="s">
        <v>765</v>
      </c>
      <c r="B477" s="4">
        <v>46166</v>
      </c>
      <c r="C477" t="s">
        <v>766</v>
      </c>
      <c r="D477" t="s">
        <v>34</v>
      </c>
      <c r="E477" t="s">
        <v>42</v>
      </c>
      <c r="F477" t="s">
        <v>51</v>
      </c>
      <c r="G477" t="s">
        <v>55</v>
      </c>
      <c r="H477">
        <v>1</v>
      </c>
      <c r="I477" s="5">
        <v>22</v>
      </c>
      <c r="J477" t="s">
        <v>61</v>
      </c>
      <c r="K477" s="5">
        <v>22</v>
      </c>
    </row>
    <row r="478" spans="1:11" x14ac:dyDescent="0.2">
      <c r="A478" t="s">
        <v>767</v>
      </c>
      <c r="B478" s="4">
        <v>46166</v>
      </c>
      <c r="C478" t="s">
        <v>358</v>
      </c>
      <c r="D478" t="s">
        <v>47</v>
      </c>
      <c r="E478" t="s">
        <v>42</v>
      </c>
      <c r="F478" t="s">
        <v>36</v>
      </c>
      <c r="G478" t="s">
        <v>85</v>
      </c>
      <c r="H478">
        <v>1</v>
      </c>
      <c r="I478" s="5">
        <v>80.099999999999994</v>
      </c>
      <c r="J478" t="s">
        <v>38</v>
      </c>
      <c r="K478" s="5">
        <v>80.099999999999994</v>
      </c>
    </row>
    <row r="479" spans="1:11" x14ac:dyDescent="0.2">
      <c r="A479" t="s">
        <v>768</v>
      </c>
      <c r="B479" s="4">
        <v>46167</v>
      </c>
      <c r="C479" t="s">
        <v>323</v>
      </c>
      <c r="D479" t="s">
        <v>114</v>
      </c>
      <c r="E479" t="s">
        <v>35</v>
      </c>
      <c r="F479" t="s">
        <v>36</v>
      </c>
      <c r="G479" t="s">
        <v>37</v>
      </c>
      <c r="H479">
        <v>1</v>
      </c>
      <c r="I479" s="5">
        <v>31.5</v>
      </c>
      <c r="J479" t="s">
        <v>38</v>
      </c>
      <c r="K479" s="5">
        <v>31.5</v>
      </c>
    </row>
    <row r="480" spans="1:11" x14ac:dyDescent="0.2">
      <c r="A480" t="s">
        <v>769</v>
      </c>
      <c r="B480" s="4">
        <v>46167</v>
      </c>
      <c r="C480" t="s">
        <v>611</v>
      </c>
      <c r="D480" t="s">
        <v>47</v>
      </c>
      <c r="E480" t="s">
        <v>91</v>
      </c>
      <c r="F480" t="s">
        <v>36</v>
      </c>
      <c r="G480" t="s">
        <v>37</v>
      </c>
      <c r="H480">
        <v>2</v>
      </c>
      <c r="I480" s="5">
        <v>36.75</v>
      </c>
      <c r="J480" t="s">
        <v>65</v>
      </c>
      <c r="K480" s="5">
        <v>73.5</v>
      </c>
    </row>
    <row r="481" spans="1:11" x14ac:dyDescent="0.2">
      <c r="A481" t="s">
        <v>770</v>
      </c>
      <c r="B481" s="4">
        <v>46167</v>
      </c>
      <c r="C481" t="s">
        <v>444</v>
      </c>
      <c r="D481" t="s">
        <v>34</v>
      </c>
      <c r="E481" t="s">
        <v>91</v>
      </c>
      <c r="F481" t="s">
        <v>71</v>
      </c>
      <c r="G481" t="s">
        <v>95</v>
      </c>
      <c r="H481">
        <v>1</v>
      </c>
      <c r="I481" s="5">
        <v>20</v>
      </c>
      <c r="J481" t="s">
        <v>65</v>
      </c>
      <c r="K481" s="5">
        <v>20</v>
      </c>
    </row>
    <row r="482" spans="1:11" x14ac:dyDescent="0.2">
      <c r="A482" t="s">
        <v>771</v>
      </c>
      <c r="B482" s="4">
        <v>46167</v>
      </c>
      <c r="C482" t="s">
        <v>694</v>
      </c>
      <c r="D482" t="s">
        <v>58</v>
      </c>
      <c r="E482" t="s">
        <v>91</v>
      </c>
      <c r="F482" t="s">
        <v>71</v>
      </c>
      <c r="G482" t="s">
        <v>137</v>
      </c>
      <c r="H482">
        <v>3</v>
      </c>
      <c r="I482" s="5">
        <v>110</v>
      </c>
      <c r="J482" t="s">
        <v>38</v>
      </c>
      <c r="K482" s="5">
        <v>330</v>
      </c>
    </row>
    <row r="483" spans="1:11" x14ac:dyDescent="0.2">
      <c r="A483" t="s">
        <v>772</v>
      </c>
      <c r="B483" s="4">
        <v>46167</v>
      </c>
      <c r="C483" t="s">
        <v>144</v>
      </c>
      <c r="D483" t="s">
        <v>58</v>
      </c>
      <c r="E483" t="s">
        <v>35</v>
      </c>
      <c r="F483" t="s">
        <v>43</v>
      </c>
      <c r="G483" t="s">
        <v>77</v>
      </c>
      <c r="H483">
        <v>5</v>
      </c>
      <c r="I483" s="5">
        <v>40.5</v>
      </c>
      <c r="J483" t="s">
        <v>38</v>
      </c>
      <c r="K483" s="5">
        <v>202.5</v>
      </c>
    </row>
    <row r="484" spans="1:11" x14ac:dyDescent="0.2">
      <c r="A484" t="s">
        <v>773</v>
      </c>
      <c r="B484" s="4">
        <v>46168</v>
      </c>
      <c r="C484" t="s">
        <v>196</v>
      </c>
      <c r="D484" t="s">
        <v>47</v>
      </c>
      <c r="E484" t="s">
        <v>35</v>
      </c>
      <c r="F484" t="s">
        <v>36</v>
      </c>
      <c r="G484" t="s">
        <v>68</v>
      </c>
      <c r="H484">
        <v>1</v>
      </c>
      <c r="I484" s="5">
        <v>82.95</v>
      </c>
      <c r="J484" t="s">
        <v>38</v>
      </c>
      <c r="K484" s="5">
        <v>82.95</v>
      </c>
    </row>
    <row r="485" spans="1:11" x14ac:dyDescent="0.2">
      <c r="A485" t="s">
        <v>774</v>
      </c>
      <c r="B485" s="4">
        <v>46168</v>
      </c>
      <c r="C485" t="s">
        <v>560</v>
      </c>
      <c r="D485" t="s">
        <v>114</v>
      </c>
      <c r="E485" t="s">
        <v>91</v>
      </c>
      <c r="F485" t="s">
        <v>43</v>
      </c>
      <c r="G485" t="s">
        <v>83</v>
      </c>
      <c r="H485">
        <v>2</v>
      </c>
      <c r="I485" s="5">
        <v>39</v>
      </c>
      <c r="J485" t="s">
        <v>61</v>
      </c>
      <c r="K485" s="5">
        <v>78</v>
      </c>
    </row>
    <row r="486" spans="1:11" x14ac:dyDescent="0.2">
      <c r="A486" t="s">
        <v>775</v>
      </c>
      <c r="B486" s="4">
        <v>46168</v>
      </c>
      <c r="C486" t="s">
        <v>184</v>
      </c>
      <c r="D486" t="s">
        <v>41</v>
      </c>
      <c r="E486" t="s">
        <v>35</v>
      </c>
      <c r="F486" t="s">
        <v>71</v>
      </c>
      <c r="G486" t="s">
        <v>72</v>
      </c>
      <c r="H486">
        <v>1</v>
      </c>
      <c r="I486" s="5">
        <v>55</v>
      </c>
      <c r="J486" t="s">
        <v>61</v>
      </c>
      <c r="K486" s="5">
        <v>55</v>
      </c>
    </row>
    <row r="487" spans="1:11" x14ac:dyDescent="0.2">
      <c r="A487" t="s">
        <v>776</v>
      </c>
      <c r="B487" s="4">
        <v>46168</v>
      </c>
      <c r="C487" t="s">
        <v>180</v>
      </c>
      <c r="D487" t="s">
        <v>34</v>
      </c>
      <c r="E487" t="s">
        <v>35</v>
      </c>
      <c r="F487" t="s">
        <v>36</v>
      </c>
      <c r="G487" t="s">
        <v>37</v>
      </c>
      <c r="H487">
        <v>1</v>
      </c>
      <c r="I487" s="5">
        <v>35</v>
      </c>
      <c r="J487" t="s">
        <v>61</v>
      </c>
      <c r="K487" s="5">
        <v>35</v>
      </c>
    </row>
    <row r="488" spans="1:11" x14ac:dyDescent="0.2">
      <c r="A488" t="s">
        <v>777</v>
      </c>
      <c r="B488" s="4">
        <v>46169</v>
      </c>
      <c r="C488" t="s">
        <v>778</v>
      </c>
      <c r="D488" t="s">
        <v>47</v>
      </c>
      <c r="E488" t="s">
        <v>35</v>
      </c>
      <c r="F488" t="s">
        <v>36</v>
      </c>
      <c r="G488" t="s">
        <v>122</v>
      </c>
      <c r="H488">
        <v>2</v>
      </c>
      <c r="I488" s="5">
        <v>26.25</v>
      </c>
      <c r="J488" t="s">
        <v>38</v>
      </c>
      <c r="K488" s="5">
        <v>52.5</v>
      </c>
    </row>
    <row r="489" spans="1:11" x14ac:dyDescent="0.2">
      <c r="A489" t="s">
        <v>779</v>
      </c>
      <c r="B489" s="4">
        <v>46169</v>
      </c>
      <c r="C489" t="s">
        <v>50</v>
      </c>
      <c r="D489" t="s">
        <v>58</v>
      </c>
      <c r="E489" t="s">
        <v>42</v>
      </c>
      <c r="F489" t="s">
        <v>36</v>
      </c>
      <c r="G489" t="s">
        <v>85</v>
      </c>
      <c r="H489">
        <v>3</v>
      </c>
      <c r="I489" s="5">
        <v>89</v>
      </c>
      <c r="J489" t="s">
        <v>38</v>
      </c>
      <c r="K489" s="5">
        <v>267</v>
      </c>
    </row>
    <row r="490" spans="1:11" x14ac:dyDescent="0.2">
      <c r="A490" t="s">
        <v>780</v>
      </c>
      <c r="B490" s="4">
        <v>46170</v>
      </c>
      <c r="C490" t="s">
        <v>134</v>
      </c>
      <c r="D490" t="s">
        <v>47</v>
      </c>
      <c r="E490" t="s">
        <v>42</v>
      </c>
      <c r="F490" t="s">
        <v>36</v>
      </c>
      <c r="G490" t="s">
        <v>37</v>
      </c>
      <c r="H490">
        <v>1</v>
      </c>
      <c r="I490" s="5">
        <v>35</v>
      </c>
      <c r="J490" t="s">
        <v>65</v>
      </c>
      <c r="K490" s="5">
        <v>35</v>
      </c>
    </row>
    <row r="491" spans="1:11" x14ac:dyDescent="0.2">
      <c r="A491" t="s">
        <v>781</v>
      </c>
      <c r="B491" s="4">
        <v>46170</v>
      </c>
      <c r="C491" t="s">
        <v>318</v>
      </c>
      <c r="D491" t="s">
        <v>34</v>
      </c>
      <c r="E491" t="s">
        <v>35</v>
      </c>
      <c r="F491" t="s">
        <v>71</v>
      </c>
      <c r="G491" t="s">
        <v>137</v>
      </c>
      <c r="H491">
        <v>1</v>
      </c>
      <c r="I491" s="5">
        <v>110</v>
      </c>
      <c r="J491" t="s">
        <v>38</v>
      </c>
      <c r="K491" s="5">
        <v>110</v>
      </c>
    </row>
    <row r="492" spans="1:11" x14ac:dyDescent="0.2">
      <c r="A492" t="s">
        <v>782</v>
      </c>
      <c r="B492" s="4">
        <v>46171</v>
      </c>
      <c r="C492" t="s">
        <v>129</v>
      </c>
      <c r="D492" t="s">
        <v>114</v>
      </c>
      <c r="E492" t="s">
        <v>35</v>
      </c>
      <c r="F492" t="s">
        <v>59</v>
      </c>
      <c r="G492" t="s">
        <v>111</v>
      </c>
      <c r="H492">
        <v>1</v>
      </c>
      <c r="I492" s="5">
        <v>75</v>
      </c>
      <c r="J492" t="s">
        <v>38</v>
      </c>
      <c r="K492" s="5">
        <v>75</v>
      </c>
    </row>
    <row r="493" spans="1:11" x14ac:dyDescent="0.2">
      <c r="A493" t="s">
        <v>783</v>
      </c>
      <c r="B493" s="4">
        <v>46171</v>
      </c>
      <c r="C493" t="s">
        <v>568</v>
      </c>
      <c r="D493" t="s">
        <v>41</v>
      </c>
      <c r="E493" t="s">
        <v>42</v>
      </c>
      <c r="F493" t="s">
        <v>36</v>
      </c>
      <c r="G493" t="s">
        <v>85</v>
      </c>
      <c r="H493">
        <v>1</v>
      </c>
      <c r="I493" s="5">
        <v>89</v>
      </c>
      <c r="J493" t="s">
        <v>38</v>
      </c>
      <c r="K493" s="5">
        <v>89</v>
      </c>
    </row>
    <row r="494" spans="1:11" x14ac:dyDescent="0.2">
      <c r="A494" t="s">
        <v>784</v>
      </c>
      <c r="B494" s="4">
        <v>46171</v>
      </c>
      <c r="C494" t="s">
        <v>663</v>
      </c>
      <c r="D494" t="s">
        <v>34</v>
      </c>
      <c r="E494" t="s">
        <v>91</v>
      </c>
      <c r="F494" t="s">
        <v>71</v>
      </c>
      <c r="G494" t="s">
        <v>88</v>
      </c>
      <c r="H494">
        <v>2</v>
      </c>
      <c r="I494" s="5">
        <v>75</v>
      </c>
      <c r="J494" t="s">
        <v>38</v>
      </c>
      <c r="K494" s="5">
        <v>150</v>
      </c>
    </row>
    <row r="495" spans="1:11" x14ac:dyDescent="0.2">
      <c r="A495" t="s">
        <v>785</v>
      </c>
      <c r="B495" s="4">
        <v>46172</v>
      </c>
      <c r="C495" t="s">
        <v>180</v>
      </c>
      <c r="D495" t="s">
        <v>58</v>
      </c>
      <c r="E495" t="s">
        <v>35</v>
      </c>
      <c r="F495" t="s">
        <v>59</v>
      </c>
      <c r="G495" t="s">
        <v>60</v>
      </c>
      <c r="H495">
        <v>1</v>
      </c>
      <c r="I495" s="5">
        <v>120</v>
      </c>
      <c r="J495" t="s">
        <v>38</v>
      </c>
      <c r="K495" s="5">
        <v>120</v>
      </c>
    </row>
    <row r="496" spans="1:11" x14ac:dyDescent="0.2">
      <c r="A496" t="s">
        <v>786</v>
      </c>
      <c r="B496" s="4">
        <v>46172</v>
      </c>
      <c r="C496" t="s">
        <v>361</v>
      </c>
      <c r="D496" t="s">
        <v>58</v>
      </c>
      <c r="E496" t="s">
        <v>42</v>
      </c>
      <c r="F496" t="s">
        <v>36</v>
      </c>
      <c r="G496" t="s">
        <v>152</v>
      </c>
      <c r="H496">
        <v>1</v>
      </c>
      <c r="I496" s="5">
        <v>59</v>
      </c>
      <c r="J496" t="s">
        <v>38</v>
      </c>
      <c r="K496" s="5">
        <v>59</v>
      </c>
    </row>
    <row r="497" spans="1:11" x14ac:dyDescent="0.2">
      <c r="A497" t="s">
        <v>787</v>
      </c>
      <c r="B497" s="4">
        <v>46173</v>
      </c>
      <c r="C497" t="s">
        <v>350</v>
      </c>
      <c r="D497" t="s">
        <v>47</v>
      </c>
      <c r="E497" t="s">
        <v>42</v>
      </c>
      <c r="F497" t="s">
        <v>43</v>
      </c>
      <c r="G497" t="s">
        <v>142</v>
      </c>
      <c r="H497">
        <v>2</v>
      </c>
      <c r="I497" s="5">
        <v>32</v>
      </c>
      <c r="J497" t="s">
        <v>38</v>
      </c>
      <c r="K497" s="5">
        <v>64</v>
      </c>
    </row>
    <row r="498" spans="1:11" x14ac:dyDescent="0.2">
      <c r="A498" t="s">
        <v>788</v>
      </c>
      <c r="B498" s="4">
        <v>46173</v>
      </c>
      <c r="C498" t="s">
        <v>789</v>
      </c>
      <c r="D498" t="s">
        <v>47</v>
      </c>
      <c r="E498" t="s">
        <v>35</v>
      </c>
      <c r="F498" t="s">
        <v>36</v>
      </c>
      <c r="G498" t="s">
        <v>122</v>
      </c>
      <c r="H498">
        <v>1</v>
      </c>
      <c r="I498" s="5">
        <v>26.25</v>
      </c>
      <c r="J498" t="s">
        <v>38</v>
      </c>
      <c r="K498" s="5">
        <v>26.25</v>
      </c>
    </row>
    <row r="499" spans="1:11" x14ac:dyDescent="0.2">
      <c r="A499" t="s">
        <v>790</v>
      </c>
      <c r="B499" s="4">
        <v>46173</v>
      </c>
      <c r="C499" t="s">
        <v>791</v>
      </c>
      <c r="D499" t="s">
        <v>58</v>
      </c>
      <c r="E499" t="s">
        <v>42</v>
      </c>
      <c r="F499" t="s">
        <v>71</v>
      </c>
      <c r="G499" t="s">
        <v>88</v>
      </c>
      <c r="H499">
        <v>2</v>
      </c>
      <c r="I499" s="5">
        <v>67.5</v>
      </c>
      <c r="J499" t="s">
        <v>38</v>
      </c>
      <c r="K499" s="5">
        <v>135</v>
      </c>
    </row>
    <row r="500" spans="1:11" x14ac:dyDescent="0.2">
      <c r="A500" t="s">
        <v>792</v>
      </c>
      <c r="B500" s="4">
        <v>46175</v>
      </c>
      <c r="C500" t="s">
        <v>652</v>
      </c>
      <c r="D500" t="s">
        <v>58</v>
      </c>
      <c r="E500" t="s">
        <v>35</v>
      </c>
      <c r="F500" t="s">
        <v>59</v>
      </c>
      <c r="G500" t="s">
        <v>64</v>
      </c>
      <c r="H500">
        <v>2</v>
      </c>
      <c r="I500" s="5">
        <v>18</v>
      </c>
      <c r="J500" t="s">
        <v>61</v>
      </c>
      <c r="K500" s="5">
        <v>36</v>
      </c>
    </row>
    <row r="501" spans="1:11" x14ac:dyDescent="0.2">
      <c r="A501" t="s">
        <v>793</v>
      </c>
      <c r="B501" s="4">
        <v>46175</v>
      </c>
      <c r="C501" t="s">
        <v>165</v>
      </c>
      <c r="D501" t="s">
        <v>41</v>
      </c>
      <c r="E501" t="s">
        <v>91</v>
      </c>
      <c r="F501" t="s">
        <v>36</v>
      </c>
      <c r="G501" t="s">
        <v>37</v>
      </c>
      <c r="H501">
        <v>1</v>
      </c>
      <c r="I501" s="5">
        <v>36.75</v>
      </c>
      <c r="J501" t="s">
        <v>65</v>
      </c>
      <c r="K501" s="5">
        <v>36.75</v>
      </c>
    </row>
    <row r="502" spans="1:11" x14ac:dyDescent="0.2">
      <c r="A502" t="s">
        <v>794</v>
      </c>
      <c r="B502" s="4">
        <v>46175</v>
      </c>
      <c r="C502" t="s">
        <v>33</v>
      </c>
      <c r="D502" t="s">
        <v>34</v>
      </c>
      <c r="E502" t="s">
        <v>35</v>
      </c>
      <c r="F502" t="s">
        <v>51</v>
      </c>
      <c r="G502" t="s">
        <v>119</v>
      </c>
      <c r="H502">
        <v>1</v>
      </c>
      <c r="I502" s="5">
        <v>31.5</v>
      </c>
      <c r="J502" t="s">
        <v>38</v>
      </c>
      <c r="K502" s="5">
        <v>31.5</v>
      </c>
    </row>
    <row r="503" spans="1:11" x14ac:dyDescent="0.2">
      <c r="A503" t="s">
        <v>795</v>
      </c>
      <c r="B503" s="4">
        <v>46175</v>
      </c>
      <c r="C503" t="s">
        <v>796</v>
      </c>
      <c r="D503" t="s">
        <v>47</v>
      </c>
      <c r="E503" t="s">
        <v>42</v>
      </c>
      <c r="F503" t="s">
        <v>43</v>
      </c>
      <c r="G503" t="s">
        <v>77</v>
      </c>
      <c r="H503">
        <v>1</v>
      </c>
      <c r="I503" s="5">
        <v>40.5</v>
      </c>
      <c r="J503" t="s">
        <v>38</v>
      </c>
      <c r="K503" s="5">
        <v>40.5</v>
      </c>
    </row>
    <row r="504" spans="1:11" x14ac:dyDescent="0.2">
      <c r="A504" t="s">
        <v>797</v>
      </c>
      <c r="B504" s="4">
        <v>46175</v>
      </c>
      <c r="C504" t="s">
        <v>361</v>
      </c>
      <c r="D504" t="s">
        <v>58</v>
      </c>
      <c r="E504" t="s">
        <v>35</v>
      </c>
      <c r="F504" t="s">
        <v>36</v>
      </c>
      <c r="G504" t="s">
        <v>122</v>
      </c>
      <c r="H504">
        <v>1</v>
      </c>
      <c r="I504" s="5">
        <v>25</v>
      </c>
      <c r="J504" t="s">
        <v>38</v>
      </c>
      <c r="K504" s="5">
        <v>25</v>
      </c>
    </row>
    <row r="505" spans="1:11" x14ac:dyDescent="0.2">
      <c r="A505" t="s">
        <v>798</v>
      </c>
      <c r="B505" s="4">
        <v>46177</v>
      </c>
      <c r="C505" t="s">
        <v>221</v>
      </c>
      <c r="D505" t="s">
        <v>34</v>
      </c>
      <c r="E505" t="s">
        <v>35</v>
      </c>
      <c r="F505" t="s">
        <v>71</v>
      </c>
      <c r="G505" t="s">
        <v>92</v>
      </c>
      <c r="H505">
        <v>2</v>
      </c>
      <c r="I505" s="5">
        <v>65</v>
      </c>
      <c r="J505" t="s">
        <v>38</v>
      </c>
      <c r="K505" s="5">
        <v>130</v>
      </c>
    </row>
    <row r="506" spans="1:11" x14ac:dyDescent="0.2">
      <c r="A506" t="s">
        <v>799</v>
      </c>
      <c r="B506" s="4">
        <v>46177</v>
      </c>
      <c r="C506" t="s">
        <v>321</v>
      </c>
      <c r="D506" t="s">
        <v>58</v>
      </c>
      <c r="E506" t="s">
        <v>35</v>
      </c>
      <c r="F506" t="s">
        <v>36</v>
      </c>
      <c r="G506" t="s">
        <v>68</v>
      </c>
      <c r="H506">
        <v>2</v>
      </c>
      <c r="I506" s="5">
        <v>79</v>
      </c>
      <c r="J506" t="s">
        <v>61</v>
      </c>
      <c r="K506" s="5">
        <v>158</v>
      </c>
    </row>
    <row r="507" spans="1:11" x14ac:dyDescent="0.2">
      <c r="A507" t="s">
        <v>800</v>
      </c>
      <c r="B507" s="4">
        <v>46177</v>
      </c>
      <c r="C507" t="s">
        <v>370</v>
      </c>
      <c r="D507" t="s">
        <v>34</v>
      </c>
      <c r="E507" t="s">
        <v>35</v>
      </c>
      <c r="F507" t="s">
        <v>51</v>
      </c>
      <c r="G507" t="s">
        <v>155</v>
      </c>
      <c r="H507">
        <v>2</v>
      </c>
      <c r="I507" s="5">
        <v>60</v>
      </c>
      <c r="J507" t="s">
        <v>61</v>
      </c>
      <c r="K507" s="5">
        <v>120</v>
      </c>
    </row>
    <row r="508" spans="1:11" x14ac:dyDescent="0.2">
      <c r="A508" t="s">
        <v>801</v>
      </c>
      <c r="B508" s="4">
        <v>46177</v>
      </c>
      <c r="C508" t="s">
        <v>211</v>
      </c>
      <c r="D508" t="s">
        <v>58</v>
      </c>
      <c r="E508" t="s">
        <v>35</v>
      </c>
      <c r="F508" t="s">
        <v>59</v>
      </c>
      <c r="G508" t="s">
        <v>111</v>
      </c>
      <c r="H508">
        <v>3</v>
      </c>
      <c r="I508" s="5">
        <v>75</v>
      </c>
      <c r="J508" t="s">
        <v>65</v>
      </c>
      <c r="K508" s="5">
        <v>225</v>
      </c>
    </row>
    <row r="509" spans="1:11" x14ac:dyDescent="0.2">
      <c r="A509" t="s">
        <v>802</v>
      </c>
      <c r="B509" s="4">
        <v>46177</v>
      </c>
      <c r="C509" t="s">
        <v>616</v>
      </c>
      <c r="D509" t="s">
        <v>58</v>
      </c>
      <c r="E509" t="s">
        <v>35</v>
      </c>
      <c r="F509" t="s">
        <v>59</v>
      </c>
      <c r="G509" t="s">
        <v>106</v>
      </c>
      <c r="H509">
        <v>1</v>
      </c>
      <c r="I509" s="5">
        <v>29.4</v>
      </c>
      <c r="J509" t="s">
        <v>61</v>
      </c>
      <c r="K509" s="5">
        <v>29.4</v>
      </c>
    </row>
    <row r="510" spans="1:11" x14ac:dyDescent="0.2">
      <c r="A510" t="s">
        <v>803</v>
      </c>
      <c r="B510" s="4">
        <v>46178</v>
      </c>
      <c r="C510" t="s">
        <v>804</v>
      </c>
      <c r="D510" t="s">
        <v>47</v>
      </c>
      <c r="E510" t="s">
        <v>35</v>
      </c>
      <c r="F510" t="s">
        <v>71</v>
      </c>
      <c r="G510" t="s">
        <v>95</v>
      </c>
      <c r="H510">
        <v>2</v>
      </c>
      <c r="I510" s="5">
        <v>18</v>
      </c>
      <c r="J510" t="s">
        <v>38</v>
      </c>
      <c r="K510" s="5">
        <v>36</v>
      </c>
    </row>
    <row r="511" spans="1:11" x14ac:dyDescent="0.2">
      <c r="A511" t="s">
        <v>805</v>
      </c>
      <c r="B511" s="4">
        <v>46178</v>
      </c>
      <c r="C511" t="s">
        <v>376</v>
      </c>
      <c r="D511" t="s">
        <v>58</v>
      </c>
      <c r="E511" t="s">
        <v>91</v>
      </c>
      <c r="F511" t="s">
        <v>71</v>
      </c>
      <c r="G511" t="s">
        <v>95</v>
      </c>
      <c r="H511">
        <v>1</v>
      </c>
      <c r="I511" s="5">
        <v>20</v>
      </c>
      <c r="J511" t="s">
        <v>61</v>
      </c>
      <c r="K511" s="5">
        <v>20</v>
      </c>
    </row>
    <row r="512" spans="1:11" x14ac:dyDescent="0.2">
      <c r="A512" t="s">
        <v>806</v>
      </c>
      <c r="B512" s="4">
        <v>46178</v>
      </c>
      <c r="C512" t="s">
        <v>361</v>
      </c>
      <c r="D512" t="s">
        <v>114</v>
      </c>
      <c r="E512" t="s">
        <v>91</v>
      </c>
      <c r="F512" t="s">
        <v>51</v>
      </c>
      <c r="G512" t="s">
        <v>52</v>
      </c>
      <c r="H512">
        <v>3</v>
      </c>
      <c r="I512" s="5">
        <v>40.5</v>
      </c>
      <c r="J512" t="s">
        <v>38</v>
      </c>
      <c r="K512" s="5">
        <v>121.5</v>
      </c>
    </row>
    <row r="513" spans="1:11" x14ac:dyDescent="0.2">
      <c r="A513" t="s">
        <v>807</v>
      </c>
      <c r="B513" s="4">
        <v>46179</v>
      </c>
      <c r="C513" t="s">
        <v>171</v>
      </c>
      <c r="D513" t="s">
        <v>41</v>
      </c>
      <c r="E513" t="s">
        <v>42</v>
      </c>
      <c r="F513" t="s">
        <v>36</v>
      </c>
      <c r="G513" t="s">
        <v>122</v>
      </c>
      <c r="H513">
        <v>3</v>
      </c>
      <c r="I513" s="5">
        <v>25</v>
      </c>
      <c r="J513" t="s">
        <v>38</v>
      </c>
      <c r="K513" s="5">
        <v>75</v>
      </c>
    </row>
    <row r="514" spans="1:11" x14ac:dyDescent="0.2">
      <c r="A514" t="s">
        <v>808</v>
      </c>
      <c r="B514" s="4">
        <v>46179</v>
      </c>
      <c r="C514" t="s">
        <v>174</v>
      </c>
      <c r="D514" t="s">
        <v>58</v>
      </c>
      <c r="E514" t="s">
        <v>35</v>
      </c>
      <c r="F514" t="s">
        <v>59</v>
      </c>
      <c r="G514" t="s">
        <v>111</v>
      </c>
      <c r="H514">
        <v>1</v>
      </c>
      <c r="I514" s="5">
        <v>75</v>
      </c>
      <c r="J514" t="s">
        <v>38</v>
      </c>
      <c r="K514" s="5">
        <v>75</v>
      </c>
    </row>
    <row r="515" spans="1:11" x14ac:dyDescent="0.2">
      <c r="A515" t="s">
        <v>809</v>
      </c>
      <c r="B515" s="4">
        <v>46179</v>
      </c>
      <c r="C515" t="s">
        <v>724</v>
      </c>
      <c r="D515" t="s">
        <v>47</v>
      </c>
      <c r="E515" t="s">
        <v>35</v>
      </c>
      <c r="F515" t="s">
        <v>36</v>
      </c>
      <c r="G515" t="s">
        <v>152</v>
      </c>
      <c r="H515">
        <v>1</v>
      </c>
      <c r="I515" s="5">
        <v>59</v>
      </c>
      <c r="J515" t="s">
        <v>61</v>
      </c>
      <c r="K515" s="5">
        <v>59</v>
      </c>
    </row>
    <row r="516" spans="1:11" x14ac:dyDescent="0.2">
      <c r="A516" t="s">
        <v>810</v>
      </c>
      <c r="B516" s="4">
        <v>46179</v>
      </c>
      <c r="C516" t="s">
        <v>451</v>
      </c>
      <c r="D516" t="s">
        <v>114</v>
      </c>
      <c r="E516" t="s">
        <v>35</v>
      </c>
      <c r="F516" t="s">
        <v>43</v>
      </c>
      <c r="G516" t="s">
        <v>48</v>
      </c>
      <c r="H516">
        <v>4</v>
      </c>
      <c r="I516" s="5">
        <v>161.1</v>
      </c>
      <c r="J516" t="s">
        <v>38</v>
      </c>
      <c r="K516" s="5">
        <v>644.4</v>
      </c>
    </row>
    <row r="517" spans="1:11" x14ac:dyDescent="0.2">
      <c r="A517" t="s">
        <v>811</v>
      </c>
      <c r="B517" s="4">
        <v>46180</v>
      </c>
      <c r="C517" t="s">
        <v>415</v>
      </c>
      <c r="D517" t="s">
        <v>34</v>
      </c>
      <c r="E517" t="s">
        <v>42</v>
      </c>
      <c r="F517" t="s">
        <v>43</v>
      </c>
      <c r="G517" t="s">
        <v>83</v>
      </c>
      <c r="H517">
        <v>2</v>
      </c>
      <c r="I517" s="5">
        <v>35.1</v>
      </c>
      <c r="J517" t="s">
        <v>38</v>
      </c>
      <c r="K517" s="5">
        <v>70.2</v>
      </c>
    </row>
    <row r="518" spans="1:11" x14ac:dyDescent="0.2">
      <c r="A518" t="s">
        <v>812</v>
      </c>
      <c r="B518" s="4">
        <v>46180</v>
      </c>
      <c r="C518" t="s">
        <v>139</v>
      </c>
      <c r="D518" t="s">
        <v>34</v>
      </c>
      <c r="E518" t="s">
        <v>91</v>
      </c>
      <c r="F518" t="s">
        <v>43</v>
      </c>
      <c r="G518" t="s">
        <v>77</v>
      </c>
      <c r="H518">
        <v>1</v>
      </c>
      <c r="I518" s="5">
        <v>45</v>
      </c>
      <c r="J518" t="s">
        <v>38</v>
      </c>
      <c r="K518" s="5">
        <v>45</v>
      </c>
    </row>
    <row r="519" spans="1:11" x14ac:dyDescent="0.2">
      <c r="A519" t="s">
        <v>813</v>
      </c>
      <c r="B519" s="4">
        <v>46180</v>
      </c>
      <c r="C519" t="s">
        <v>321</v>
      </c>
      <c r="D519" t="s">
        <v>47</v>
      </c>
      <c r="E519" t="s">
        <v>35</v>
      </c>
      <c r="F519" t="s">
        <v>51</v>
      </c>
      <c r="G519" t="s">
        <v>155</v>
      </c>
      <c r="H519">
        <v>3</v>
      </c>
      <c r="I519" s="5">
        <v>54</v>
      </c>
      <c r="J519" t="s">
        <v>38</v>
      </c>
      <c r="K519" s="5">
        <v>162</v>
      </c>
    </row>
    <row r="520" spans="1:11" x14ac:dyDescent="0.2">
      <c r="A520" t="s">
        <v>814</v>
      </c>
      <c r="B520" s="4">
        <v>46180</v>
      </c>
      <c r="C520" t="s">
        <v>525</v>
      </c>
      <c r="D520" t="s">
        <v>34</v>
      </c>
      <c r="E520" t="s">
        <v>35</v>
      </c>
      <c r="F520" t="s">
        <v>43</v>
      </c>
      <c r="G520" t="s">
        <v>142</v>
      </c>
      <c r="H520">
        <v>1</v>
      </c>
      <c r="I520" s="5">
        <v>32</v>
      </c>
      <c r="J520" t="s">
        <v>61</v>
      </c>
      <c r="K520" s="5">
        <v>32</v>
      </c>
    </row>
    <row r="521" spans="1:11" x14ac:dyDescent="0.2">
      <c r="A521" t="s">
        <v>815</v>
      </c>
      <c r="B521" s="4">
        <v>46181</v>
      </c>
      <c r="C521" t="s">
        <v>139</v>
      </c>
      <c r="D521" t="s">
        <v>47</v>
      </c>
      <c r="E521" t="s">
        <v>35</v>
      </c>
      <c r="F521" t="s">
        <v>43</v>
      </c>
      <c r="G521" t="s">
        <v>142</v>
      </c>
      <c r="H521">
        <v>1</v>
      </c>
      <c r="I521" s="5">
        <v>33.6</v>
      </c>
      <c r="J521" t="s">
        <v>61</v>
      </c>
      <c r="K521" s="5">
        <v>33.6</v>
      </c>
    </row>
    <row r="522" spans="1:11" x14ac:dyDescent="0.2">
      <c r="A522" t="s">
        <v>816</v>
      </c>
      <c r="B522" s="4">
        <v>46182</v>
      </c>
      <c r="C522" t="s">
        <v>325</v>
      </c>
      <c r="D522" t="s">
        <v>47</v>
      </c>
      <c r="E522" t="s">
        <v>42</v>
      </c>
      <c r="F522" t="s">
        <v>51</v>
      </c>
      <c r="G522" t="s">
        <v>155</v>
      </c>
      <c r="H522">
        <v>1</v>
      </c>
      <c r="I522" s="5">
        <v>60</v>
      </c>
      <c r="J522" t="s">
        <v>38</v>
      </c>
      <c r="K522" s="5">
        <v>60</v>
      </c>
    </row>
    <row r="523" spans="1:11" x14ac:dyDescent="0.2">
      <c r="A523" t="s">
        <v>817</v>
      </c>
      <c r="B523" s="4">
        <v>46182</v>
      </c>
      <c r="C523" t="s">
        <v>483</v>
      </c>
      <c r="D523" t="s">
        <v>47</v>
      </c>
      <c r="E523" t="s">
        <v>91</v>
      </c>
      <c r="F523" t="s">
        <v>71</v>
      </c>
      <c r="G523" t="s">
        <v>95</v>
      </c>
      <c r="H523">
        <v>2</v>
      </c>
      <c r="I523" s="5">
        <v>20</v>
      </c>
      <c r="J523" t="s">
        <v>38</v>
      </c>
      <c r="K523" s="5">
        <v>40</v>
      </c>
    </row>
    <row r="524" spans="1:11" x14ac:dyDescent="0.2">
      <c r="A524" t="s">
        <v>818</v>
      </c>
      <c r="B524" s="4">
        <v>46182</v>
      </c>
      <c r="C524" t="s">
        <v>189</v>
      </c>
      <c r="D524" t="s">
        <v>47</v>
      </c>
      <c r="E524" t="s">
        <v>91</v>
      </c>
      <c r="F524" t="s">
        <v>71</v>
      </c>
      <c r="G524" t="s">
        <v>88</v>
      </c>
      <c r="H524">
        <v>2</v>
      </c>
      <c r="I524" s="5">
        <v>75</v>
      </c>
      <c r="J524" t="s">
        <v>38</v>
      </c>
      <c r="K524" s="5">
        <v>150</v>
      </c>
    </row>
    <row r="525" spans="1:11" x14ac:dyDescent="0.2">
      <c r="A525" t="s">
        <v>819</v>
      </c>
      <c r="B525" s="4">
        <v>46183</v>
      </c>
      <c r="C525" t="s">
        <v>234</v>
      </c>
      <c r="D525" t="s">
        <v>41</v>
      </c>
      <c r="E525" t="s">
        <v>42</v>
      </c>
      <c r="F525" t="s">
        <v>71</v>
      </c>
      <c r="G525" t="s">
        <v>72</v>
      </c>
      <c r="H525">
        <v>4</v>
      </c>
      <c r="I525" s="5">
        <v>55</v>
      </c>
      <c r="J525" t="s">
        <v>38</v>
      </c>
      <c r="K525" s="5">
        <v>220</v>
      </c>
    </row>
    <row r="526" spans="1:11" x14ac:dyDescent="0.2">
      <c r="A526" t="s">
        <v>820</v>
      </c>
      <c r="B526" s="4">
        <v>46183</v>
      </c>
      <c r="C526" t="s">
        <v>821</v>
      </c>
      <c r="D526" t="s">
        <v>47</v>
      </c>
      <c r="E526" t="s">
        <v>42</v>
      </c>
      <c r="F526" t="s">
        <v>36</v>
      </c>
      <c r="G526" t="s">
        <v>37</v>
      </c>
      <c r="H526">
        <v>1</v>
      </c>
      <c r="I526" s="5">
        <v>35</v>
      </c>
      <c r="J526" t="s">
        <v>38</v>
      </c>
      <c r="K526" s="5">
        <v>35</v>
      </c>
    </row>
    <row r="527" spans="1:11" x14ac:dyDescent="0.2">
      <c r="A527" t="s">
        <v>822</v>
      </c>
      <c r="B527" s="4">
        <v>46183</v>
      </c>
      <c r="C527" t="s">
        <v>228</v>
      </c>
      <c r="D527" t="s">
        <v>47</v>
      </c>
      <c r="E527" t="s">
        <v>42</v>
      </c>
      <c r="F527" t="s">
        <v>36</v>
      </c>
      <c r="G527" t="s">
        <v>37</v>
      </c>
      <c r="H527">
        <v>1</v>
      </c>
      <c r="I527" s="5">
        <v>35</v>
      </c>
      <c r="J527" t="s">
        <v>38</v>
      </c>
      <c r="K527" s="5">
        <v>35</v>
      </c>
    </row>
    <row r="528" spans="1:11" x14ac:dyDescent="0.2">
      <c r="A528" t="s">
        <v>823</v>
      </c>
      <c r="B528" s="4">
        <v>46183</v>
      </c>
      <c r="C528" t="s">
        <v>498</v>
      </c>
      <c r="D528" t="s">
        <v>114</v>
      </c>
      <c r="E528" t="s">
        <v>91</v>
      </c>
      <c r="F528" t="s">
        <v>51</v>
      </c>
      <c r="G528" t="s">
        <v>55</v>
      </c>
      <c r="H528">
        <v>4</v>
      </c>
      <c r="I528" s="5">
        <v>22</v>
      </c>
      <c r="J528" t="s">
        <v>38</v>
      </c>
      <c r="K528" s="5">
        <v>88</v>
      </c>
    </row>
    <row r="529" spans="1:11" x14ac:dyDescent="0.2">
      <c r="A529" t="s">
        <v>824</v>
      </c>
      <c r="B529" s="4">
        <v>46183</v>
      </c>
      <c r="C529" t="s">
        <v>113</v>
      </c>
      <c r="D529" t="s">
        <v>47</v>
      </c>
      <c r="E529" t="s">
        <v>42</v>
      </c>
      <c r="F529" t="s">
        <v>43</v>
      </c>
      <c r="G529" t="s">
        <v>44</v>
      </c>
      <c r="H529">
        <v>2</v>
      </c>
      <c r="I529" s="5">
        <v>99</v>
      </c>
      <c r="J529" t="s">
        <v>38</v>
      </c>
      <c r="K529" s="5">
        <v>198</v>
      </c>
    </row>
    <row r="530" spans="1:11" x14ac:dyDescent="0.2">
      <c r="A530" t="s">
        <v>825</v>
      </c>
      <c r="B530" s="4">
        <v>46183</v>
      </c>
      <c r="C530" t="s">
        <v>356</v>
      </c>
      <c r="D530" t="s">
        <v>41</v>
      </c>
      <c r="E530" t="s">
        <v>42</v>
      </c>
      <c r="F530" t="s">
        <v>36</v>
      </c>
      <c r="G530" t="s">
        <v>68</v>
      </c>
      <c r="H530">
        <v>1</v>
      </c>
      <c r="I530" s="5">
        <v>79</v>
      </c>
      <c r="J530" t="s">
        <v>38</v>
      </c>
      <c r="K530" s="5">
        <v>79</v>
      </c>
    </row>
    <row r="531" spans="1:11" x14ac:dyDescent="0.2">
      <c r="A531" t="s">
        <v>826</v>
      </c>
      <c r="B531" s="4">
        <v>46183</v>
      </c>
      <c r="C531" t="s">
        <v>411</v>
      </c>
      <c r="D531" t="s">
        <v>34</v>
      </c>
      <c r="E531" t="s">
        <v>91</v>
      </c>
      <c r="F531" t="s">
        <v>71</v>
      </c>
      <c r="G531" t="s">
        <v>92</v>
      </c>
      <c r="H531">
        <v>1</v>
      </c>
      <c r="I531" s="5">
        <v>65</v>
      </c>
      <c r="J531" t="s">
        <v>65</v>
      </c>
      <c r="K531" s="5">
        <v>65</v>
      </c>
    </row>
    <row r="532" spans="1:11" x14ac:dyDescent="0.2">
      <c r="A532" t="s">
        <v>827</v>
      </c>
      <c r="B532" s="4">
        <v>46183</v>
      </c>
      <c r="C532" t="s">
        <v>663</v>
      </c>
      <c r="D532" t="s">
        <v>58</v>
      </c>
      <c r="E532" t="s">
        <v>35</v>
      </c>
      <c r="F532" t="s">
        <v>71</v>
      </c>
      <c r="G532" t="s">
        <v>88</v>
      </c>
      <c r="H532">
        <v>1</v>
      </c>
      <c r="I532" s="5">
        <v>75</v>
      </c>
      <c r="J532" t="s">
        <v>38</v>
      </c>
      <c r="K532" s="5">
        <v>75</v>
      </c>
    </row>
    <row r="533" spans="1:11" x14ac:dyDescent="0.2">
      <c r="A533" t="s">
        <v>828</v>
      </c>
      <c r="B533" s="4">
        <v>46185</v>
      </c>
      <c r="C533" t="s">
        <v>350</v>
      </c>
      <c r="D533" t="s">
        <v>114</v>
      </c>
      <c r="E533" t="s">
        <v>35</v>
      </c>
      <c r="F533" t="s">
        <v>36</v>
      </c>
      <c r="G533" t="s">
        <v>122</v>
      </c>
      <c r="H533">
        <v>1</v>
      </c>
      <c r="I533" s="5">
        <v>22.5</v>
      </c>
      <c r="J533" t="s">
        <v>38</v>
      </c>
      <c r="K533" s="5">
        <v>22.5</v>
      </c>
    </row>
    <row r="534" spans="1:11" x14ac:dyDescent="0.2">
      <c r="A534" t="s">
        <v>829</v>
      </c>
      <c r="B534" s="4">
        <v>46186</v>
      </c>
      <c r="C534" t="s">
        <v>358</v>
      </c>
      <c r="D534" t="s">
        <v>47</v>
      </c>
      <c r="E534" t="s">
        <v>91</v>
      </c>
      <c r="F534" t="s">
        <v>36</v>
      </c>
      <c r="G534" t="s">
        <v>122</v>
      </c>
      <c r="H534">
        <v>3</v>
      </c>
      <c r="I534" s="5">
        <v>25</v>
      </c>
      <c r="J534" t="s">
        <v>38</v>
      </c>
      <c r="K534" s="5">
        <v>75</v>
      </c>
    </row>
    <row r="535" spans="1:11" x14ac:dyDescent="0.2">
      <c r="A535" t="s">
        <v>830</v>
      </c>
      <c r="B535" s="4">
        <v>46186</v>
      </c>
      <c r="C535" t="s">
        <v>383</v>
      </c>
      <c r="D535" t="s">
        <v>34</v>
      </c>
      <c r="E535" t="s">
        <v>91</v>
      </c>
      <c r="F535" t="s">
        <v>43</v>
      </c>
      <c r="G535" t="s">
        <v>142</v>
      </c>
      <c r="H535">
        <v>1</v>
      </c>
      <c r="I535" s="5">
        <v>32</v>
      </c>
      <c r="J535" t="s">
        <v>65</v>
      </c>
      <c r="K535" s="5">
        <v>32</v>
      </c>
    </row>
    <row r="536" spans="1:11" x14ac:dyDescent="0.2">
      <c r="A536" t="s">
        <v>831</v>
      </c>
      <c r="B536" s="4">
        <v>46186</v>
      </c>
      <c r="C536" t="s">
        <v>724</v>
      </c>
      <c r="D536" t="s">
        <v>34</v>
      </c>
      <c r="E536" t="s">
        <v>35</v>
      </c>
      <c r="F536" t="s">
        <v>71</v>
      </c>
      <c r="G536" t="s">
        <v>137</v>
      </c>
      <c r="H536">
        <v>3</v>
      </c>
      <c r="I536" s="5">
        <v>115.5</v>
      </c>
      <c r="J536" t="s">
        <v>61</v>
      </c>
      <c r="K536" s="5">
        <v>346.5</v>
      </c>
    </row>
    <row r="537" spans="1:11" x14ac:dyDescent="0.2">
      <c r="A537" t="s">
        <v>832</v>
      </c>
      <c r="B537" s="4">
        <v>46186</v>
      </c>
      <c r="C537" t="s">
        <v>730</v>
      </c>
      <c r="D537" t="s">
        <v>34</v>
      </c>
      <c r="E537" t="s">
        <v>35</v>
      </c>
      <c r="F537" t="s">
        <v>71</v>
      </c>
      <c r="G537" t="s">
        <v>137</v>
      </c>
      <c r="H537">
        <v>1</v>
      </c>
      <c r="I537" s="5">
        <v>110</v>
      </c>
      <c r="J537" t="s">
        <v>65</v>
      </c>
      <c r="K537" s="5">
        <v>110</v>
      </c>
    </row>
    <row r="538" spans="1:11" x14ac:dyDescent="0.2">
      <c r="A538" t="s">
        <v>833</v>
      </c>
      <c r="B538" s="4">
        <v>46186</v>
      </c>
      <c r="C538" t="s">
        <v>834</v>
      </c>
      <c r="D538" t="s">
        <v>58</v>
      </c>
      <c r="E538" t="s">
        <v>35</v>
      </c>
      <c r="F538" t="s">
        <v>59</v>
      </c>
      <c r="G538" t="s">
        <v>111</v>
      </c>
      <c r="H538">
        <v>2</v>
      </c>
      <c r="I538" s="5">
        <v>67.5</v>
      </c>
      <c r="J538" t="s">
        <v>61</v>
      </c>
      <c r="K538" s="5">
        <v>135</v>
      </c>
    </row>
    <row r="539" spans="1:11" x14ac:dyDescent="0.2">
      <c r="A539" t="s">
        <v>835</v>
      </c>
      <c r="B539" s="4">
        <v>46187</v>
      </c>
      <c r="C539" t="s">
        <v>385</v>
      </c>
      <c r="D539" t="s">
        <v>47</v>
      </c>
      <c r="E539" t="s">
        <v>42</v>
      </c>
      <c r="F539" t="s">
        <v>71</v>
      </c>
      <c r="G539" t="s">
        <v>92</v>
      </c>
      <c r="H539">
        <v>1</v>
      </c>
      <c r="I539" s="5">
        <v>65</v>
      </c>
      <c r="J539" t="s">
        <v>38</v>
      </c>
      <c r="K539" s="5">
        <v>65</v>
      </c>
    </row>
    <row r="540" spans="1:11" x14ac:dyDescent="0.2">
      <c r="A540" t="s">
        <v>836</v>
      </c>
      <c r="B540" s="4">
        <v>46187</v>
      </c>
      <c r="C540" t="s">
        <v>118</v>
      </c>
      <c r="D540" t="s">
        <v>114</v>
      </c>
      <c r="E540" t="s">
        <v>35</v>
      </c>
      <c r="F540" t="s">
        <v>51</v>
      </c>
      <c r="G540" t="s">
        <v>155</v>
      </c>
      <c r="H540">
        <v>3</v>
      </c>
      <c r="I540" s="5">
        <v>63</v>
      </c>
      <c r="J540" t="s">
        <v>38</v>
      </c>
      <c r="K540" s="5">
        <v>189</v>
      </c>
    </row>
    <row r="541" spans="1:11" x14ac:dyDescent="0.2">
      <c r="A541" t="s">
        <v>837</v>
      </c>
      <c r="B541" s="4">
        <v>46187</v>
      </c>
      <c r="C541" t="s">
        <v>118</v>
      </c>
      <c r="D541" t="s">
        <v>41</v>
      </c>
      <c r="E541" t="s">
        <v>91</v>
      </c>
      <c r="F541" t="s">
        <v>43</v>
      </c>
      <c r="G541" t="s">
        <v>48</v>
      </c>
      <c r="H541">
        <v>3</v>
      </c>
      <c r="I541" s="5">
        <v>187.95</v>
      </c>
      <c r="J541" t="s">
        <v>61</v>
      </c>
      <c r="K541" s="5">
        <v>563.85</v>
      </c>
    </row>
    <row r="542" spans="1:11" x14ac:dyDescent="0.2">
      <c r="A542" t="s">
        <v>838</v>
      </c>
      <c r="B542" s="4">
        <v>46187</v>
      </c>
      <c r="C542" t="s">
        <v>550</v>
      </c>
      <c r="D542" t="s">
        <v>114</v>
      </c>
      <c r="E542" t="s">
        <v>35</v>
      </c>
      <c r="F542" t="s">
        <v>36</v>
      </c>
      <c r="G542" t="s">
        <v>85</v>
      </c>
      <c r="H542">
        <v>1</v>
      </c>
      <c r="I542" s="5">
        <v>89</v>
      </c>
      <c r="J542" t="s">
        <v>65</v>
      </c>
      <c r="K542" s="5">
        <v>89</v>
      </c>
    </row>
    <row r="543" spans="1:11" x14ac:dyDescent="0.2">
      <c r="A543" t="s">
        <v>839</v>
      </c>
      <c r="B543" s="4">
        <v>46188</v>
      </c>
      <c r="C543" t="s">
        <v>821</v>
      </c>
      <c r="D543" t="s">
        <v>114</v>
      </c>
      <c r="E543" t="s">
        <v>91</v>
      </c>
      <c r="F543" t="s">
        <v>59</v>
      </c>
      <c r="G543" t="s">
        <v>60</v>
      </c>
      <c r="H543">
        <v>1</v>
      </c>
      <c r="I543" s="5">
        <v>120</v>
      </c>
      <c r="J543" t="s">
        <v>61</v>
      </c>
      <c r="K543" s="5">
        <v>120</v>
      </c>
    </row>
    <row r="544" spans="1:11" x14ac:dyDescent="0.2">
      <c r="A544" t="s">
        <v>840</v>
      </c>
      <c r="B544" s="4">
        <v>46188</v>
      </c>
      <c r="C544" t="s">
        <v>189</v>
      </c>
      <c r="D544" t="s">
        <v>114</v>
      </c>
      <c r="E544" t="s">
        <v>42</v>
      </c>
      <c r="F544" t="s">
        <v>43</v>
      </c>
      <c r="G544" t="s">
        <v>142</v>
      </c>
      <c r="H544">
        <v>3</v>
      </c>
      <c r="I544" s="5">
        <v>32</v>
      </c>
      <c r="J544" t="s">
        <v>61</v>
      </c>
      <c r="K544" s="5">
        <v>96</v>
      </c>
    </row>
    <row r="545" spans="1:11" x14ac:dyDescent="0.2">
      <c r="A545" t="s">
        <v>841</v>
      </c>
      <c r="B545" s="4">
        <v>46188</v>
      </c>
      <c r="C545" t="s">
        <v>254</v>
      </c>
      <c r="D545" t="s">
        <v>41</v>
      </c>
      <c r="E545" t="s">
        <v>35</v>
      </c>
      <c r="F545" t="s">
        <v>51</v>
      </c>
      <c r="G545" t="s">
        <v>55</v>
      </c>
      <c r="H545">
        <v>2</v>
      </c>
      <c r="I545" s="5">
        <v>22</v>
      </c>
      <c r="J545" t="s">
        <v>38</v>
      </c>
      <c r="K545" s="5">
        <v>44</v>
      </c>
    </row>
    <row r="546" spans="1:11" x14ac:dyDescent="0.2">
      <c r="A546" t="s">
        <v>842</v>
      </c>
      <c r="B546" s="4">
        <v>46188</v>
      </c>
      <c r="C546" t="s">
        <v>275</v>
      </c>
      <c r="D546" t="s">
        <v>34</v>
      </c>
      <c r="E546" t="s">
        <v>35</v>
      </c>
      <c r="F546" t="s">
        <v>43</v>
      </c>
      <c r="G546" t="s">
        <v>44</v>
      </c>
      <c r="H546">
        <v>4</v>
      </c>
      <c r="I546" s="5">
        <v>89.1</v>
      </c>
      <c r="J546" t="s">
        <v>61</v>
      </c>
      <c r="K546" s="5">
        <v>356.4</v>
      </c>
    </row>
    <row r="547" spans="1:11" x14ac:dyDescent="0.2">
      <c r="A547" t="s">
        <v>843</v>
      </c>
      <c r="B547" s="4">
        <v>46188</v>
      </c>
      <c r="C547" t="s">
        <v>295</v>
      </c>
      <c r="D547" t="s">
        <v>58</v>
      </c>
      <c r="E547" t="s">
        <v>91</v>
      </c>
      <c r="F547" t="s">
        <v>71</v>
      </c>
      <c r="G547" t="s">
        <v>72</v>
      </c>
      <c r="H547">
        <v>4</v>
      </c>
      <c r="I547" s="5">
        <v>57.75</v>
      </c>
      <c r="J547" t="s">
        <v>38</v>
      </c>
      <c r="K547" s="5">
        <v>231</v>
      </c>
    </row>
    <row r="548" spans="1:11" x14ac:dyDescent="0.2">
      <c r="A548" t="s">
        <v>844</v>
      </c>
      <c r="B548" s="4">
        <v>46188</v>
      </c>
      <c r="C548" t="s">
        <v>574</v>
      </c>
      <c r="D548" t="s">
        <v>41</v>
      </c>
      <c r="E548" t="s">
        <v>35</v>
      </c>
      <c r="F548" t="s">
        <v>71</v>
      </c>
      <c r="G548" t="s">
        <v>92</v>
      </c>
      <c r="H548">
        <v>1</v>
      </c>
      <c r="I548" s="5">
        <v>68.25</v>
      </c>
      <c r="J548" t="s">
        <v>65</v>
      </c>
      <c r="K548" s="5">
        <v>68.25</v>
      </c>
    </row>
    <row r="549" spans="1:11" x14ac:dyDescent="0.2">
      <c r="A549" t="s">
        <v>845</v>
      </c>
      <c r="B549" s="4">
        <v>46189</v>
      </c>
      <c r="C549" t="s">
        <v>846</v>
      </c>
      <c r="D549" t="s">
        <v>41</v>
      </c>
      <c r="E549" t="s">
        <v>91</v>
      </c>
      <c r="F549" t="s">
        <v>59</v>
      </c>
      <c r="G549" t="s">
        <v>80</v>
      </c>
      <c r="H549">
        <v>1</v>
      </c>
      <c r="I549" s="5">
        <v>36.75</v>
      </c>
      <c r="J549" t="s">
        <v>61</v>
      </c>
      <c r="K549" s="5">
        <v>36.75</v>
      </c>
    </row>
    <row r="550" spans="1:11" x14ac:dyDescent="0.2">
      <c r="A550" t="s">
        <v>847</v>
      </c>
      <c r="B550" s="4">
        <v>46189</v>
      </c>
      <c r="C550" t="s">
        <v>275</v>
      </c>
      <c r="D550" t="s">
        <v>34</v>
      </c>
      <c r="E550" t="s">
        <v>42</v>
      </c>
      <c r="F550" t="s">
        <v>71</v>
      </c>
      <c r="G550" t="s">
        <v>137</v>
      </c>
      <c r="H550">
        <v>1</v>
      </c>
      <c r="I550" s="5">
        <v>110</v>
      </c>
      <c r="J550" t="s">
        <v>38</v>
      </c>
      <c r="K550" s="5">
        <v>110</v>
      </c>
    </row>
    <row r="551" spans="1:11" x14ac:dyDescent="0.2">
      <c r="A551" t="s">
        <v>848</v>
      </c>
      <c r="B551" s="4">
        <v>46190</v>
      </c>
      <c r="C551" t="s">
        <v>261</v>
      </c>
      <c r="D551" t="s">
        <v>47</v>
      </c>
      <c r="E551" t="s">
        <v>35</v>
      </c>
      <c r="F551" t="s">
        <v>59</v>
      </c>
      <c r="G551" t="s">
        <v>80</v>
      </c>
      <c r="H551">
        <v>2</v>
      </c>
      <c r="I551" s="5">
        <v>35</v>
      </c>
      <c r="J551" t="s">
        <v>38</v>
      </c>
      <c r="K551" s="5">
        <v>70</v>
      </c>
    </row>
    <row r="552" spans="1:11" x14ac:dyDescent="0.2">
      <c r="A552" t="s">
        <v>849</v>
      </c>
      <c r="B552" s="4">
        <v>46190</v>
      </c>
      <c r="C552" t="s">
        <v>762</v>
      </c>
      <c r="D552" t="s">
        <v>34</v>
      </c>
      <c r="E552" t="s">
        <v>91</v>
      </c>
      <c r="F552" t="s">
        <v>71</v>
      </c>
      <c r="G552" t="s">
        <v>92</v>
      </c>
      <c r="H552">
        <v>1</v>
      </c>
      <c r="I552" s="5">
        <v>68.25</v>
      </c>
      <c r="J552" t="s">
        <v>38</v>
      </c>
      <c r="K552" s="5">
        <v>68.25</v>
      </c>
    </row>
    <row r="553" spans="1:11" x14ac:dyDescent="0.2">
      <c r="A553" t="s">
        <v>850</v>
      </c>
      <c r="B553" s="4">
        <v>46190</v>
      </c>
      <c r="C553" t="s">
        <v>851</v>
      </c>
      <c r="D553" t="s">
        <v>47</v>
      </c>
      <c r="E553" t="s">
        <v>35</v>
      </c>
      <c r="F553" t="s">
        <v>71</v>
      </c>
      <c r="G553" t="s">
        <v>95</v>
      </c>
      <c r="H553">
        <v>1</v>
      </c>
      <c r="I553" s="5">
        <v>20</v>
      </c>
      <c r="J553" t="s">
        <v>38</v>
      </c>
      <c r="K553" s="5">
        <v>20</v>
      </c>
    </row>
    <row r="554" spans="1:11" x14ac:dyDescent="0.2">
      <c r="A554" t="s">
        <v>852</v>
      </c>
      <c r="B554" s="4">
        <v>46191</v>
      </c>
      <c r="C554" t="s">
        <v>778</v>
      </c>
      <c r="D554" t="s">
        <v>41</v>
      </c>
      <c r="E554" t="s">
        <v>91</v>
      </c>
      <c r="F554" t="s">
        <v>59</v>
      </c>
      <c r="G554" t="s">
        <v>60</v>
      </c>
      <c r="H554">
        <v>3</v>
      </c>
      <c r="I554" s="5">
        <v>126</v>
      </c>
      <c r="J554" t="s">
        <v>38</v>
      </c>
      <c r="K554" s="5">
        <v>378</v>
      </c>
    </row>
    <row r="555" spans="1:11" x14ac:dyDescent="0.2">
      <c r="A555" t="s">
        <v>853</v>
      </c>
      <c r="B555" s="4">
        <v>46191</v>
      </c>
      <c r="C555" t="s">
        <v>214</v>
      </c>
      <c r="D555" t="s">
        <v>58</v>
      </c>
      <c r="E555" t="s">
        <v>35</v>
      </c>
      <c r="F555" t="s">
        <v>59</v>
      </c>
      <c r="G555" t="s">
        <v>80</v>
      </c>
      <c r="H555">
        <v>1</v>
      </c>
      <c r="I555" s="5">
        <v>35</v>
      </c>
      <c r="J555" t="s">
        <v>38</v>
      </c>
      <c r="K555" s="5">
        <v>35</v>
      </c>
    </row>
    <row r="556" spans="1:11" x14ac:dyDescent="0.2">
      <c r="A556" t="s">
        <v>854</v>
      </c>
      <c r="B556" s="4">
        <v>46191</v>
      </c>
      <c r="C556" t="s">
        <v>216</v>
      </c>
      <c r="D556" t="s">
        <v>34</v>
      </c>
      <c r="E556" t="s">
        <v>42</v>
      </c>
      <c r="F556" t="s">
        <v>36</v>
      </c>
      <c r="G556" t="s">
        <v>37</v>
      </c>
      <c r="H556">
        <v>1</v>
      </c>
      <c r="I556" s="5">
        <v>35</v>
      </c>
      <c r="J556" t="s">
        <v>38</v>
      </c>
      <c r="K556" s="5">
        <v>35</v>
      </c>
    </row>
    <row r="557" spans="1:11" x14ac:dyDescent="0.2">
      <c r="A557" t="s">
        <v>855</v>
      </c>
      <c r="B557" s="4">
        <v>46191</v>
      </c>
      <c r="C557" t="s">
        <v>856</v>
      </c>
      <c r="D557" t="s">
        <v>47</v>
      </c>
      <c r="E557" t="s">
        <v>35</v>
      </c>
      <c r="F557" t="s">
        <v>43</v>
      </c>
      <c r="G557" t="s">
        <v>48</v>
      </c>
      <c r="H557">
        <v>1</v>
      </c>
      <c r="I557" s="5">
        <v>187.95</v>
      </c>
      <c r="J557" t="s">
        <v>38</v>
      </c>
      <c r="K557" s="5">
        <v>187.95</v>
      </c>
    </row>
    <row r="558" spans="1:11" x14ac:dyDescent="0.2">
      <c r="A558" t="s">
        <v>857</v>
      </c>
      <c r="B558" s="4">
        <v>46191</v>
      </c>
      <c r="C558" t="s">
        <v>202</v>
      </c>
      <c r="D558" t="s">
        <v>58</v>
      </c>
      <c r="E558" t="s">
        <v>35</v>
      </c>
      <c r="F558" t="s">
        <v>36</v>
      </c>
      <c r="G558" t="s">
        <v>122</v>
      </c>
      <c r="H558">
        <v>2</v>
      </c>
      <c r="I558" s="5">
        <v>25</v>
      </c>
      <c r="J558" t="s">
        <v>38</v>
      </c>
      <c r="K558" s="5">
        <v>50</v>
      </c>
    </row>
    <row r="559" spans="1:11" x14ac:dyDescent="0.2">
      <c r="A559" t="s">
        <v>858</v>
      </c>
      <c r="B559" s="4">
        <v>46191</v>
      </c>
      <c r="C559" t="s">
        <v>318</v>
      </c>
      <c r="D559" t="s">
        <v>114</v>
      </c>
      <c r="E559" t="s">
        <v>35</v>
      </c>
      <c r="F559" t="s">
        <v>36</v>
      </c>
      <c r="G559" t="s">
        <v>68</v>
      </c>
      <c r="H559">
        <v>1</v>
      </c>
      <c r="I559" s="5">
        <v>82.95</v>
      </c>
      <c r="J559" t="s">
        <v>38</v>
      </c>
      <c r="K559" s="5">
        <v>82.95</v>
      </c>
    </row>
    <row r="560" spans="1:11" x14ac:dyDescent="0.2">
      <c r="A560" t="s">
        <v>859</v>
      </c>
      <c r="B560" s="4">
        <v>46191</v>
      </c>
      <c r="C560" t="s">
        <v>40</v>
      </c>
      <c r="D560" t="s">
        <v>47</v>
      </c>
      <c r="E560" t="s">
        <v>35</v>
      </c>
      <c r="F560" t="s">
        <v>51</v>
      </c>
      <c r="G560" t="s">
        <v>52</v>
      </c>
      <c r="H560">
        <v>1</v>
      </c>
      <c r="I560" s="5">
        <v>47.25</v>
      </c>
      <c r="J560" t="s">
        <v>38</v>
      </c>
      <c r="K560" s="5">
        <v>47.25</v>
      </c>
    </row>
    <row r="561" spans="1:11" x14ac:dyDescent="0.2">
      <c r="A561" t="s">
        <v>860</v>
      </c>
      <c r="B561" s="4">
        <v>46191</v>
      </c>
      <c r="C561" t="s">
        <v>861</v>
      </c>
      <c r="D561" t="s">
        <v>58</v>
      </c>
      <c r="E561" t="s">
        <v>35</v>
      </c>
      <c r="F561" t="s">
        <v>51</v>
      </c>
      <c r="G561" t="s">
        <v>52</v>
      </c>
      <c r="H561">
        <v>2</v>
      </c>
      <c r="I561" s="5">
        <v>40.5</v>
      </c>
      <c r="J561" t="s">
        <v>38</v>
      </c>
      <c r="K561" s="5">
        <v>81</v>
      </c>
    </row>
    <row r="562" spans="1:11" x14ac:dyDescent="0.2">
      <c r="A562" t="s">
        <v>862</v>
      </c>
      <c r="B562" s="4">
        <v>46191</v>
      </c>
      <c r="C562" t="s">
        <v>79</v>
      </c>
      <c r="D562" t="s">
        <v>47</v>
      </c>
      <c r="E562" t="s">
        <v>91</v>
      </c>
      <c r="F562" t="s">
        <v>36</v>
      </c>
      <c r="G562" t="s">
        <v>122</v>
      </c>
      <c r="H562">
        <v>2</v>
      </c>
      <c r="I562" s="5">
        <v>26.25</v>
      </c>
      <c r="J562" t="s">
        <v>38</v>
      </c>
      <c r="K562" s="5">
        <v>52.5</v>
      </c>
    </row>
    <row r="563" spans="1:11" x14ac:dyDescent="0.2">
      <c r="A563" t="s">
        <v>863</v>
      </c>
      <c r="B563" s="4">
        <v>46192</v>
      </c>
      <c r="C563" t="s">
        <v>365</v>
      </c>
      <c r="D563" t="s">
        <v>58</v>
      </c>
      <c r="E563" t="s">
        <v>35</v>
      </c>
      <c r="F563" t="s">
        <v>51</v>
      </c>
      <c r="G563" t="s">
        <v>119</v>
      </c>
      <c r="H563">
        <v>2</v>
      </c>
      <c r="I563" s="5">
        <v>30</v>
      </c>
      <c r="J563" t="s">
        <v>38</v>
      </c>
      <c r="K563" s="5">
        <v>60</v>
      </c>
    </row>
    <row r="564" spans="1:11" x14ac:dyDescent="0.2">
      <c r="A564" t="s">
        <v>864</v>
      </c>
      <c r="B564" s="4">
        <v>46192</v>
      </c>
      <c r="C564" t="s">
        <v>113</v>
      </c>
      <c r="D564" t="s">
        <v>47</v>
      </c>
      <c r="E564" t="s">
        <v>42</v>
      </c>
      <c r="F564" t="s">
        <v>36</v>
      </c>
      <c r="G564" t="s">
        <v>85</v>
      </c>
      <c r="H564">
        <v>1</v>
      </c>
      <c r="I564" s="5">
        <v>80.099999999999994</v>
      </c>
      <c r="J564" t="s">
        <v>65</v>
      </c>
      <c r="K564" s="5">
        <v>80.099999999999994</v>
      </c>
    </row>
    <row r="565" spans="1:11" x14ac:dyDescent="0.2">
      <c r="A565" t="s">
        <v>865</v>
      </c>
      <c r="B565" s="4">
        <v>46192</v>
      </c>
      <c r="C565" t="s">
        <v>424</v>
      </c>
      <c r="D565" t="s">
        <v>114</v>
      </c>
      <c r="E565" t="s">
        <v>35</v>
      </c>
      <c r="F565" t="s">
        <v>43</v>
      </c>
      <c r="G565" t="s">
        <v>142</v>
      </c>
      <c r="H565">
        <v>3</v>
      </c>
      <c r="I565" s="5">
        <v>32</v>
      </c>
      <c r="J565" t="s">
        <v>61</v>
      </c>
      <c r="K565" s="5">
        <v>96</v>
      </c>
    </row>
    <row r="566" spans="1:11" x14ac:dyDescent="0.2">
      <c r="A566" t="s">
        <v>866</v>
      </c>
      <c r="B566" s="4">
        <v>46192</v>
      </c>
      <c r="C566" t="s">
        <v>631</v>
      </c>
      <c r="D566" t="s">
        <v>47</v>
      </c>
      <c r="E566" t="s">
        <v>35</v>
      </c>
      <c r="F566" t="s">
        <v>51</v>
      </c>
      <c r="G566" t="s">
        <v>99</v>
      </c>
      <c r="H566">
        <v>1</v>
      </c>
      <c r="I566" s="5">
        <v>18</v>
      </c>
      <c r="J566" t="s">
        <v>38</v>
      </c>
      <c r="K566" s="5">
        <v>18</v>
      </c>
    </row>
    <row r="567" spans="1:11" x14ac:dyDescent="0.2">
      <c r="A567" t="s">
        <v>867</v>
      </c>
      <c r="B567" s="4">
        <v>46193</v>
      </c>
      <c r="C567" t="s">
        <v>449</v>
      </c>
      <c r="D567" t="s">
        <v>47</v>
      </c>
      <c r="E567" t="s">
        <v>35</v>
      </c>
      <c r="F567" t="s">
        <v>36</v>
      </c>
      <c r="G567" t="s">
        <v>122</v>
      </c>
      <c r="H567">
        <v>1</v>
      </c>
      <c r="I567" s="5">
        <v>22.5</v>
      </c>
      <c r="J567" t="s">
        <v>38</v>
      </c>
      <c r="K567" s="5">
        <v>22.5</v>
      </c>
    </row>
    <row r="568" spans="1:11" x14ac:dyDescent="0.2">
      <c r="A568" t="s">
        <v>868</v>
      </c>
      <c r="B568" s="4">
        <v>46193</v>
      </c>
      <c r="C568" t="s">
        <v>373</v>
      </c>
      <c r="D568" t="s">
        <v>34</v>
      </c>
      <c r="E568" t="s">
        <v>35</v>
      </c>
      <c r="F568" t="s">
        <v>59</v>
      </c>
      <c r="G568" t="s">
        <v>80</v>
      </c>
      <c r="H568">
        <v>1</v>
      </c>
      <c r="I568" s="5">
        <v>36.75</v>
      </c>
      <c r="J568" t="s">
        <v>61</v>
      </c>
      <c r="K568" s="5">
        <v>36.75</v>
      </c>
    </row>
    <row r="569" spans="1:11" x14ac:dyDescent="0.2">
      <c r="A569" t="s">
        <v>869</v>
      </c>
      <c r="B569" s="4">
        <v>46193</v>
      </c>
      <c r="C569" t="s">
        <v>870</v>
      </c>
      <c r="D569" t="s">
        <v>47</v>
      </c>
      <c r="E569" t="s">
        <v>42</v>
      </c>
      <c r="F569" t="s">
        <v>36</v>
      </c>
      <c r="G569" t="s">
        <v>37</v>
      </c>
      <c r="H569">
        <v>1</v>
      </c>
      <c r="I569" s="5">
        <v>36.75</v>
      </c>
      <c r="J569" t="s">
        <v>65</v>
      </c>
      <c r="K569" s="5">
        <v>36.75</v>
      </c>
    </row>
    <row r="570" spans="1:11" x14ac:dyDescent="0.2">
      <c r="A570" t="s">
        <v>871</v>
      </c>
      <c r="B570" s="4">
        <v>46193</v>
      </c>
      <c r="C570" t="s">
        <v>297</v>
      </c>
      <c r="D570" t="s">
        <v>41</v>
      </c>
      <c r="E570" t="s">
        <v>91</v>
      </c>
      <c r="F570" t="s">
        <v>71</v>
      </c>
      <c r="G570" t="s">
        <v>88</v>
      </c>
      <c r="H570">
        <v>1</v>
      </c>
      <c r="I570" s="5">
        <v>75</v>
      </c>
      <c r="J570" t="s">
        <v>65</v>
      </c>
      <c r="K570" s="5">
        <v>75</v>
      </c>
    </row>
    <row r="571" spans="1:11" x14ac:dyDescent="0.2">
      <c r="A571" t="s">
        <v>872</v>
      </c>
      <c r="B571" s="4">
        <v>46193</v>
      </c>
      <c r="C571" t="s">
        <v>328</v>
      </c>
      <c r="D571" t="s">
        <v>47</v>
      </c>
      <c r="E571" t="s">
        <v>35</v>
      </c>
      <c r="F571" t="s">
        <v>71</v>
      </c>
      <c r="G571" t="s">
        <v>137</v>
      </c>
      <c r="H571">
        <v>2</v>
      </c>
      <c r="I571" s="5">
        <v>110</v>
      </c>
      <c r="J571" t="s">
        <v>38</v>
      </c>
      <c r="K571" s="5">
        <v>220</v>
      </c>
    </row>
    <row r="572" spans="1:11" x14ac:dyDescent="0.2">
      <c r="A572" t="s">
        <v>873</v>
      </c>
      <c r="B572" s="4">
        <v>46193</v>
      </c>
      <c r="C572" t="s">
        <v>507</v>
      </c>
      <c r="D572" t="s">
        <v>47</v>
      </c>
      <c r="E572" t="s">
        <v>35</v>
      </c>
      <c r="F572" t="s">
        <v>43</v>
      </c>
      <c r="G572" t="s">
        <v>142</v>
      </c>
      <c r="H572">
        <v>4</v>
      </c>
      <c r="I572" s="5">
        <v>32</v>
      </c>
      <c r="J572" t="s">
        <v>38</v>
      </c>
      <c r="K572" s="5">
        <v>128</v>
      </c>
    </row>
    <row r="573" spans="1:11" x14ac:dyDescent="0.2">
      <c r="A573" t="s">
        <v>874</v>
      </c>
      <c r="B573" s="4">
        <v>46194</v>
      </c>
      <c r="C573" t="s">
        <v>821</v>
      </c>
      <c r="D573" t="s">
        <v>41</v>
      </c>
      <c r="E573" t="s">
        <v>35</v>
      </c>
      <c r="F573" t="s">
        <v>43</v>
      </c>
      <c r="G573" t="s">
        <v>77</v>
      </c>
      <c r="H573">
        <v>1</v>
      </c>
      <c r="I573" s="5">
        <v>45</v>
      </c>
      <c r="J573" t="s">
        <v>61</v>
      </c>
      <c r="K573" s="5">
        <v>45</v>
      </c>
    </row>
    <row r="574" spans="1:11" x14ac:dyDescent="0.2">
      <c r="A574" t="s">
        <v>875</v>
      </c>
      <c r="B574" s="4">
        <v>46194</v>
      </c>
      <c r="C574" t="s">
        <v>550</v>
      </c>
      <c r="D574" t="s">
        <v>58</v>
      </c>
      <c r="E574" t="s">
        <v>35</v>
      </c>
      <c r="F574" t="s">
        <v>59</v>
      </c>
      <c r="G574" t="s">
        <v>111</v>
      </c>
      <c r="H574">
        <v>3</v>
      </c>
      <c r="I574" s="5">
        <v>75</v>
      </c>
      <c r="J574" t="s">
        <v>61</v>
      </c>
      <c r="K574" s="5">
        <v>225</v>
      </c>
    </row>
    <row r="575" spans="1:11" x14ac:dyDescent="0.2">
      <c r="A575" t="s">
        <v>876</v>
      </c>
      <c r="B575" s="4">
        <v>46195</v>
      </c>
      <c r="C575" t="s">
        <v>397</v>
      </c>
      <c r="D575" t="s">
        <v>47</v>
      </c>
      <c r="E575" t="s">
        <v>91</v>
      </c>
      <c r="F575" t="s">
        <v>36</v>
      </c>
      <c r="G575" t="s">
        <v>37</v>
      </c>
      <c r="H575">
        <v>2</v>
      </c>
      <c r="I575" s="5">
        <v>35</v>
      </c>
      <c r="J575" t="s">
        <v>38</v>
      </c>
      <c r="K575" s="5">
        <v>70</v>
      </c>
    </row>
    <row r="576" spans="1:11" x14ac:dyDescent="0.2">
      <c r="A576" t="s">
        <v>877</v>
      </c>
      <c r="B576" s="4">
        <v>46195</v>
      </c>
      <c r="C576" t="s">
        <v>358</v>
      </c>
      <c r="D576" t="s">
        <v>41</v>
      </c>
      <c r="E576" t="s">
        <v>42</v>
      </c>
      <c r="F576" t="s">
        <v>43</v>
      </c>
      <c r="G576" t="s">
        <v>142</v>
      </c>
      <c r="H576">
        <v>4</v>
      </c>
      <c r="I576" s="5">
        <v>28.8</v>
      </c>
      <c r="J576" t="s">
        <v>65</v>
      </c>
      <c r="K576" s="5">
        <v>115.2</v>
      </c>
    </row>
    <row r="577" spans="1:11" x14ac:dyDescent="0.2">
      <c r="A577" t="s">
        <v>878</v>
      </c>
      <c r="B577" s="4">
        <v>46195</v>
      </c>
      <c r="C577" t="s">
        <v>436</v>
      </c>
      <c r="D577" t="s">
        <v>47</v>
      </c>
      <c r="E577" t="s">
        <v>42</v>
      </c>
      <c r="F577" t="s">
        <v>36</v>
      </c>
      <c r="G577" t="s">
        <v>68</v>
      </c>
      <c r="H577">
        <v>1</v>
      </c>
      <c r="I577" s="5">
        <v>79</v>
      </c>
      <c r="J577" t="s">
        <v>38</v>
      </c>
      <c r="K577" s="5">
        <v>79</v>
      </c>
    </row>
    <row r="578" spans="1:11" x14ac:dyDescent="0.2">
      <c r="A578" t="s">
        <v>879</v>
      </c>
      <c r="B578" s="4">
        <v>46196</v>
      </c>
      <c r="C578" t="s">
        <v>303</v>
      </c>
      <c r="D578" t="s">
        <v>114</v>
      </c>
      <c r="E578" t="s">
        <v>91</v>
      </c>
      <c r="F578" t="s">
        <v>71</v>
      </c>
      <c r="G578" t="s">
        <v>88</v>
      </c>
      <c r="H578">
        <v>3</v>
      </c>
      <c r="I578" s="5">
        <v>75</v>
      </c>
      <c r="J578" t="s">
        <v>38</v>
      </c>
      <c r="K578" s="5">
        <v>225</v>
      </c>
    </row>
    <row r="579" spans="1:11" x14ac:dyDescent="0.2">
      <c r="A579" t="s">
        <v>880</v>
      </c>
      <c r="B579" s="4">
        <v>46197</v>
      </c>
      <c r="C579" t="s">
        <v>568</v>
      </c>
      <c r="D579" t="s">
        <v>47</v>
      </c>
      <c r="E579" t="s">
        <v>35</v>
      </c>
      <c r="F579" t="s">
        <v>36</v>
      </c>
      <c r="G579" t="s">
        <v>37</v>
      </c>
      <c r="H579">
        <v>3</v>
      </c>
      <c r="I579" s="5">
        <v>36.75</v>
      </c>
      <c r="J579" t="s">
        <v>61</v>
      </c>
      <c r="K579" s="5">
        <v>110.25</v>
      </c>
    </row>
    <row r="580" spans="1:11" x14ac:dyDescent="0.2">
      <c r="A580" t="s">
        <v>881</v>
      </c>
      <c r="B580" s="4">
        <v>46197</v>
      </c>
      <c r="C580" t="s">
        <v>882</v>
      </c>
      <c r="D580" t="s">
        <v>47</v>
      </c>
      <c r="E580" t="s">
        <v>35</v>
      </c>
      <c r="F580" t="s">
        <v>59</v>
      </c>
      <c r="G580" t="s">
        <v>111</v>
      </c>
      <c r="H580">
        <v>2</v>
      </c>
      <c r="I580" s="5">
        <v>67.5</v>
      </c>
      <c r="J580" t="s">
        <v>38</v>
      </c>
      <c r="K580" s="5">
        <v>135</v>
      </c>
    </row>
    <row r="581" spans="1:11" x14ac:dyDescent="0.2">
      <c r="A581" t="s">
        <v>883</v>
      </c>
      <c r="B581" s="4">
        <v>46197</v>
      </c>
      <c r="C581" t="s">
        <v>461</v>
      </c>
      <c r="D581" t="s">
        <v>114</v>
      </c>
      <c r="E581" t="s">
        <v>42</v>
      </c>
      <c r="F581" t="s">
        <v>36</v>
      </c>
      <c r="G581" t="s">
        <v>152</v>
      </c>
      <c r="H581">
        <v>2</v>
      </c>
      <c r="I581" s="5">
        <v>61.95</v>
      </c>
      <c r="J581" t="s">
        <v>38</v>
      </c>
      <c r="K581" s="5">
        <v>123.9</v>
      </c>
    </row>
    <row r="582" spans="1:11" x14ac:dyDescent="0.2">
      <c r="A582" t="s">
        <v>884</v>
      </c>
      <c r="B582" s="4">
        <v>46197</v>
      </c>
      <c r="C582" t="s">
        <v>67</v>
      </c>
      <c r="D582" t="s">
        <v>34</v>
      </c>
      <c r="E582" t="s">
        <v>91</v>
      </c>
      <c r="F582" t="s">
        <v>59</v>
      </c>
      <c r="G582" t="s">
        <v>60</v>
      </c>
      <c r="H582">
        <v>1</v>
      </c>
      <c r="I582" s="5">
        <v>108</v>
      </c>
      <c r="J582" t="s">
        <v>38</v>
      </c>
      <c r="K582" s="5">
        <v>108</v>
      </c>
    </row>
    <row r="583" spans="1:11" x14ac:dyDescent="0.2">
      <c r="A583" t="s">
        <v>885</v>
      </c>
      <c r="B583" s="4">
        <v>46198</v>
      </c>
      <c r="C583" t="s">
        <v>303</v>
      </c>
      <c r="D583" t="s">
        <v>34</v>
      </c>
      <c r="E583" t="s">
        <v>35</v>
      </c>
      <c r="F583" t="s">
        <v>59</v>
      </c>
      <c r="G583" t="s">
        <v>80</v>
      </c>
      <c r="H583">
        <v>1</v>
      </c>
      <c r="I583" s="5">
        <v>35</v>
      </c>
      <c r="J583" t="s">
        <v>61</v>
      </c>
      <c r="K583" s="5">
        <v>35</v>
      </c>
    </row>
    <row r="584" spans="1:11" x14ac:dyDescent="0.2">
      <c r="A584" t="s">
        <v>886</v>
      </c>
      <c r="B584" s="4">
        <v>46198</v>
      </c>
      <c r="C584" t="s">
        <v>314</v>
      </c>
      <c r="D584" t="s">
        <v>114</v>
      </c>
      <c r="E584" t="s">
        <v>35</v>
      </c>
      <c r="F584" t="s">
        <v>36</v>
      </c>
      <c r="G584" t="s">
        <v>37</v>
      </c>
      <c r="H584">
        <v>1</v>
      </c>
      <c r="I584" s="5">
        <v>36.75</v>
      </c>
      <c r="J584" t="s">
        <v>65</v>
      </c>
      <c r="K584" s="5">
        <v>36.75</v>
      </c>
    </row>
    <row r="585" spans="1:11" x14ac:dyDescent="0.2">
      <c r="A585" t="s">
        <v>887</v>
      </c>
      <c r="B585" s="4">
        <v>46198</v>
      </c>
      <c r="C585" t="s">
        <v>888</v>
      </c>
      <c r="D585" t="s">
        <v>58</v>
      </c>
      <c r="E585" t="s">
        <v>91</v>
      </c>
      <c r="F585" t="s">
        <v>59</v>
      </c>
      <c r="G585" t="s">
        <v>106</v>
      </c>
      <c r="H585">
        <v>2</v>
      </c>
      <c r="I585" s="5">
        <v>29.4</v>
      </c>
      <c r="J585" t="s">
        <v>38</v>
      </c>
      <c r="K585" s="5">
        <v>58.8</v>
      </c>
    </row>
    <row r="586" spans="1:11" x14ac:dyDescent="0.2">
      <c r="A586" t="s">
        <v>889</v>
      </c>
      <c r="B586" s="4">
        <v>46198</v>
      </c>
      <c r="C586" t="s">
        <v>108</v>
      </c>
      <c r="D586" t="s">
        <v>41</v>
      </c>
      <c r="E586" t="s">
        <v>42</v>
      </c>
      <c r="F586" t="s">
        <v>36</v>
      </c>
      <c r="G586" t="s">
        <v>85</v>
      </c>
      <c r="H586">
        <v>3</v>
      </c>
      <c r="I586" s="5">
        <v>89</v>
      </c>
      <c r="J586" t="s">
        <v>61</v>
      </c>
      <c r="K586" s="5">
        <v>267</v>
      </c>
    </row>
    <row r="587" spans="1:11" x14ac:dyDescent="0.2">
      <c r="A587" t="s">
        <v>890</v>
      </c>
      <c r="B587" s="4">
        <v>46198</v>
      </c>
      <c r="C587" t="s">
        <v>379</v>
      </c>
      <c r="D587" t="s">
        <v>58</v>
      </c>
      <c r="E587" t="s">
        <v>42</v>
      </c>
      <c r="F587" t="s">
        <v>51</v>
      </c>
      <c r="G587" t="s">
        <v>55</v>
      </c>
      <c r="H587">
        <v>2</v>
      </c>
      <c r="I587" s="5">
        <v>22</v>
      </c>
      <c r="J587" t="s">
        <v>65</v>
      </c>
      <c r="K587" s="5">
        <v>44</v>
      </c>
    </row>
    <row r="588" spans="1:11" x14ac:dyDescent="0.2">
      <c r="A588" t="s">
        <v>891</v>
      </c>
      <c r="B588" s="4">
        <v>46199</v>
      </c>
      <c r="C588" t="s">
        <v>316</v>
      </c>
      <c r="D588" t="s">
        <v>47</v>
      </c>
      <c r="E588" t="s">
        <v>35</v>
      </c>
      <c r="F588" t="s">
        <v>71</v>
      </c>
      <c r="G588" t="s">
        <v>95</v>
      </c>
      <c r="H588">
        <v>1</v>
      </c>
      <c r="I588" s="5">
        <v>20</v>
      </c>
      <c r="J588" t="s">
        <v>61</v>
      </c>
      <c r="K588" s="5">
        <v>20</v>
      </c>
    </row>
    <row r="589" spans="1:11" x14ac:dyDescent="0.2">
      <c r="A589" t="s">
        <v>892</v>
      </c>
      <c r="B589" s="4">
        <v>46199</v>
      </c>
      <c r="C589" t="s">
        <v>579</v>
      </c>
      <c r="D589" t="s">
        <v>34</v>
      </c>
      <c r="E589" t="s">
        <v>35</v>
      </c>
      <c r="F589" t="s">
        <v>36</v>
      </c>
      <c r="G589" t="s">
        <v>152</v>
      </c>
      <c r="H589">
        <v>1</v>
      </c>
      <c r="I589" s="5">
        <v>53.1</v>
      </c>
      <c r="J589" t="s">
        <v>61</v>
      </c>
      <c r="K589" s="5">
        <v>53.1</v>
      </c>
    </row>
    <row r="590" spans="1:11" x14ac:dyDescent="0.2">
      <c r="A590" t="s">
        <v>893</v>
      </c>
      <c r="B590" s="4">
        <v>46199</v>
      </c>
      <c r="C590" t="s">
        <v>638</v>
      </c>
      <c r="D590" t="s">
        <v>34</v>
      </c>
      <c r="E590" t="s">
        <v>42</v>
      </c>
      <c r="F590" t="s">
        <v>71</v>
      </c>
      <c r="G590" t="s">
        <v>92</v>
      </c>
      <c r="H590">
        <v>1</v>
      </c>
      <c r="I590" s="5">
        <v>65</v>
      </c>
      <c r="J590" t="s">
        <v>38</v>
      </c>
      <c r="K590" s="5">
        <v>65</v>
      </c>
    </row>
    <row r="591" spans="1:11" x14ac:dyDescent="0.2">
      <c r="A591" t="s">
        <v>894</v>
      </c>
      <c r="B591" s="4">
        <v>46199</v>
      </c>
      <c r="C591" t="s">
        <v>171</v>
      </c>
      <c r="D591" t="s">
        <v>47</v>
      </c>
      <c r="E591" t="s">
        <v>35</v>
      </c>
      <c r="F591" t="s">
        <v>36</v>
      </c>
      <c r="G591" t="s">
        <v>122</v>
      </c>
      <c r="H591">
        <v>1</v>
      </c>
      <c r="I591" s="5">
        <v>26.25</v>
      </c>
      <c r="J591" t="s">
        <v>61</v>
      </c>
      <c r="K591" s="5">
        <v>26.25</v>
      </c>
    </row>
    <row r="592" spans="1:11" x14ac:dyDescent="0.2">
      <c r="A592" t="s">
        <v>895</v>
      </c>
      <c r="B592" s="4">
        <v>46199</v>
      </c>
      <c r="C592" t="s">
        <v>503</v>
      </c>
      <c r="D592" t="s">
        <v>58</v>
      </c>
      <c r="E592" t="s">
        <v>35</v>
      </c>
      <c r="F592" t="s">
        <v>59</v>
      </c>
      <c r="G592" t="s">
        <v>64</v>
      </c>
      <c r="H592">
        <v>1</v>
      </c>
      <c r="I592" s="5">
        <v>18</v>
      </c>
      <c r="J592" t="s">
        <v>38</v>
      </c>
      <c r="K592" s="5">
        <v>18</v>
      </c>
    </row>
    <row r="593" spans="1:11" x14ac:dyDescent="0.2">
      <c r="A593" t="s">
        <v>896</v>
      </c>
      <c r="B593" s="4">
        <v>46200</v>
      </c>
      <c r="C593" t="s">
        <v>343</v>
      </c>
      <c r="D593" t="s">
        <v>47</v>
      </c>
      <c r="E593" t="s">
        <v>42</v>
      </c>
      <c r="F593" t="s">
        <v>36</v>
      </c>
      <c r="G593" t="s">
        <v>122</v>
      </c>
      <c r="H593">
        <v>4</v>
      </c>
      <c r="I593" s="5">
        <v>25</v>
      </c>
      <c r="J593" t="s">
        <v>38</v>
      </c>
      <c r="K593" s="5">
        <v>100</v>
      </c>
    </row>
    <row r="594" spans="1:11" x14ac:dyDescent="0.2">
      <c r="A594" t="s">
        <v>897</v>
      </c>
      <c r="B594" s="4">
        <v>46201</v>
      </c>
      <c r="C594" t="s">
        <v>223</v>
      </c>
      <c r="D594" t="s">
        <v>34</v>
      </c>
      <c r="E594" t="s">
        <v>91</v>
      </c>
      <c r="F594" t="s">
        <v>36</v>
      </c>
      <c r="G594" t="s">
        <v>152</v>
      </c>
      <c r="H594">
        <v>1</v>
      </c>
      <c r="I594" s="5">
        <v>61.95</v>
      </c>
      <c r="J594" t="s">
        <v>61</v>
      </c>
      <c r="K594" s="5">
        <v>61.95</v>
      </c>
    </row>
    <row r="595" spans="1:11" x14ac:dyDescent="0.2">
      <c r="A595" t="s">
        <v>898</v>
      </c>
      <c r="B595" s="4">
        <v>46201</v>
      </c>
      <c r="C595" t="s">
        <v>586</v>
      </c>
      <c r="D595" t="s">
        <v>41</v>
      </c>
      <c r="E595" t="s">
        <v>35</v>
      </c>
      <c r="F595" t="s">
        <v>36</v>
      </c>
      <c r="G595" t="s">
        <v>152</v>
      </c>
      <c r="H595">
        <v>1</v>
      </c>
      <c r="I595" s="5">
        <v>59</v>
      </c>
      <c r="J595" t="s">
        <v>38</v>
      </c>
      <c r="K595" s="5">
        <v>59</v>
      </c>
    </row>
    <row r="596" spans="1:11" x14ac:dyDescent="0.2">
      <c r="A596" t="s">
        <v>899</v>
      </c>
      <c r="B596" s="4">
        <v>46201</v>
      </c>
      <c r="C596" t="s">
        <v>110</v>
      </c>
      <c r="D596" t="s">
        <v>34</v>
      </c>
      <c r="E596" t="s">
        <v>42</v>
      </c>
      <c r="F596" t="s">
        <v>59</v>
      </c>
      <c r="G596" t="s">
        <v>64</v>
      </c>
      <c r="H596">
        <v>1</v>
      </c>
      <c r="I596" s="5">
        <v>18</v>
      </c>
      <c r="J596" t="s">
        <v>65</v>
      </c>
      <c r="K596" s="5">
        <v>18</v>
      </c>
    </row>
    <row r="597" spans="1:11" x14ac:dyDescent="0.2">
      <c r="A597" t="s">
        <v>900</v>
      </c>
      <c r="B597" s="4">
        <v>46201</v>
      </c>
      <c r="C597" t="s">
        <v>568</v>
      </c>
      <c r="D597" t="s">
        <v>114</v>
      </c>
      <c r="E597" t="s">
        <v>91</v>
      </c>
      <c r="F597" t="s">
        <v>36</v>
      </c>
      <c r="G597" t="s">
        <v>152</v>
      </c>
      <c r="H597">
        <v>1</v>
      </c>
      <c r="I597" s="5">
        <v>61.95</v>
      </c>
      <c r="J597" t="s">
        <v>61</v>
      </c>
      <c r="K597" s="5">
        <v>61.95</v>
      </c>
    </row>
    <row r="598" spans="1:11" x14ac:dyDescent="0.2">
      <c r="A598" t="s">
        <v>901</v>
      </c>
      <c r="B598" s="4">
        <v>46201</v>
      </c>
      <c r="C598" t="s">
        <v>146</v>
      </c>
      <c r="D598" t="s">
        <v>58</v>
      </c>
      <c r="E598" t="s">
        <v>91</v>
      </c>
      <c r="F598" t="s">
        <v>43</v>
      </c>
      <c r="G598" t="s">
        <v>44</v>
      </c>
      <c r="H598">
        <v>1</v>
      </c>
      <c r="I598" s="5">
        <v>99</v>
      </c>
      <c r="J598" t="s">
        <v>38</v>
      </c>
      <c r="K598" s="5">
        <v>99</v>
      </c>
    </row>
    <row r="599" spans="1:11" x14ac:dyDescent="0.2">
      <c r="A599" t="s">
        <v>902</v>
      </c>
      <c r="B599" s="4">
        <v>46202</v>
      </c>
      <c r="C599" t="s">
        <v>254</v>
      </c>
      <c r="D599" t="s">
        <v>58</v>
      </c>
      <c r="E599" t="s">
        <v>35</v>
      </c>
      <c r="F599" t="s">
        <v>71</v>
      </c>
      <c r="G599" t="s">
        <v>88</v>
      </c>
      <c r="H599">
        <v>1</v>
      </c>
      <c r="I599" s="5">
        <v>75</v>
      </c>
      <c r="J599" t="s">
        <v>61</v>
      </c>
      <c r="K599" s="5">
        <v>75</v>
      </c>
    </row>
    <row r="600" spans="1:11" x14ac:dyDescent="0.2">
      <c r="A600" t="s">
        <v>903</v>
      </c>
      <c r="B600" s="4">
        <v>46202</v>
      </c>
      <c r="C600" t="s">
        <v>74</v>
      </c>
      <c r="D600" t="s">
        <v>58</v>
      </c>
      <c r="E600" t="s">
        <v>91</v>
      </c>
      <c r="F600" t="s">
        <v>51</v>
      </c>
      <c r="G600" t="s">
        <v>119</v>
      </c>
      <c r="H600">
        <v>1</v>
      </c>
      <c r="I600" s="5">
        <v>27</v>
      </c>
      <c r="J600" t="s">
        <v>38</v>
      </c>
      <c r="K600" s="5">
        <v>27</v>
      </c>
    </row>
    <row r="601" spans="1:11" x14ac:dyDescent="0.2">
      <c r="A601" t="s">
        <v>904</v>
      </c>
      <c r="B601" s="4">
        <v>46203</v>
      </c>
      <c r="C601" t="s">
        <v>343</v>
      </c>
      <c r="D601" t="s">
        <v>47</v>
      </c>
      <c r="E601" t="s">
        <v>42</v>
      </c>
      <c r="F601" t="s">
        <v>51</v>
      </c>
      <c r="G601" t="s">
        <v>99</v>
      </c>
      <c r="H601">
        <v>1</v>
      </c>
      <c r="I601" s="5">
        <v>16.2</v>
      </c>
      <c r="J601" t="s">
        <v>38</v>
      </c>
      <c r="K601" s="5">
        <v>16.2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workbookViewId="0">
      <selection activeCell="J3" sqref="J3"/>
    </sheetView>
  </sheetViews>
  <sheetFormatPr baseColWidth="10" defaultColWidth="8.83203125" defaultRowHeight="15" x14ac:dyDescent="0.2"/>
  <cols>
    <col min="1" max="1" width="19.6640625" bestFit="1" customWidth="1"/>
    <col min="2" max="2" width="11.33203125" bestFit="1" customWidth="1"/>
    <col min="3" max="3" width="14" bestFit="1" customWidth="1"/>
    <col min="4" max="4" width="15.6640625" style="52" customWidth="1"/>
    <col min="5" max="5" width="11.33203125" style="52" bestFit="1" customWidth="1"/>
    <col min="6" max="6" width="7" style="52" bestFit="1" customWidth="1"/>
    <col min="8" max="8" width="8.83203125" customWidth="1"/>
    <col min="9" max="9" width="33.5" style="105" bestFit="1" customWidth="1"/>
    <col min="10" max="10" width="103.83203125" style="105" customWidth="1"/>
  </cols>
  <sheetData>
    <row r="1" spans="1:10" ht="24" x14ac:dyDescent="0.3">
      <c r="A1" s="51" t="s">
        <v>905</v>
      </c>
      <c r="B1" s="51"/>
      <c r="C1" s="51"/>
      <c r="D1" s="51"/>
    </row>
    <row r="2" spans="1:10" ht="19" thickBot="1" x14ac:dyDescent="0.25">
      <c r="I2" s="106" t="s">
        <v>929</v>
      </c>
      <c r="J2" s="106"/>
    </row>
    <row r="3" spans="1:10" ht="32" x14ac:dyDescent="0.2">
      <c r="A3" s="68" t="s">
        <v>906</v>
      </c>
      <c r="B3" s="69"/>
      <c r="I3" s="107" t="s">
        <v>932</v>
      </c>
      <c r="J3" s="108" t="s">
        <v>948</v>
      </c>
    </row>
    <row r="4" spans="1:10" ht="32" x14ac:dyDescent="0.2">
      <c r="A4" s="53" t="s">
        <v>907</v>
      </c>
      <c r="B4" s="49">
        <f>SUM(Données_nettoyées!K2:K601)</f>
        <v>68396.049999999959</v>
      </c>
      <c r="I4" s="107" t="s">
        <v>933</v>
      </c>
      <c r="J4" s="105" t="s">
        <v>949</v>
      </c>
    </row>
    <row r="5" spans="1:10" ht="16" x14ac:dyDescent="0.2">
      <c r="A5" s="53" t="s">
        <v>908</v>
      </c>
      <c r="B5" s="23">
        <f>COUNTA(Données_nettoyées!A2:A601)</f>
        <v>600</v>
      </c>
      <c r="I5" s="107" t="s">
        <v>934</v>
      </c>
      <c r="J5" s="105" t="s">
        <v>950</v>
      </c>
    </row>
    <row r="6" spans="1:10" ht="16" x14ac:dyDescent="0.2">
      <c r="A6" s="53" t="s">
        <v>909</v>
      </c>
      <c r="B6" s="23">
        <f>SUM(Données_nettoyées!H2:H601)</f>
        <v>1155</v>
      </c>
      <c r="I6" s="107" t="s">
        <v>935</v>
      </c>
      <c r="J6" s="105" t="s">
        <v>951</v>
      </c>
    </row>
    <row r="7" spans="1:10" ht="33" thickBot="1" x14ac:dyDescent="0.25">
      <c r="A7" s="54" t="s">
        <v>910</v>
      </c>
      <c r="B7" s="50">
        <f>SUM(Données_nettoyées!K2:K601)/COUNTA(Données_nettoyées!A2:A601)</f>
        <v>113.9934166666666</v>
      </c>
      <c r="I7" s="107" t="s">
        <v>947</v>
      </c>
      <c r="J7" s="109" t="s">
        <v>952</v>
      </c>
    </row>
    <row r="9" spans="1:10" ht="18" thickBot="1" x14ac:dyDescent="0.25">
      <c r="I9" s="110" t="s">
        <v>930</v>
      </c>
      <c r="J9" s="110"/>
    </row>
    <row r="10" spans="1:10" ht="32" x14ac:dyDescent="0.2">
      <c r="A10" s="35" t="s">
        <v>911</v>
      </c>
      <c r="B10" s="36"/>
      <c r="D10" s="70" t="s">
        <v>912</v>
      </c>
      <c r="E10" s="71"/>
      <c r="F10" s="72"/>
      <c r="I10" s="107" t="s">
        <v>936</v>
      </c>
      <c r="J10" s="105" t="s">
        <v>937</v>
      </c>
    </row>
    <row r="11" spans="1:10" ht="16" x14ac:dyDescent="0.2">
      <c r="A11" s="79" t="s">
        <v>913</v>
      </c>
      <c r="B11" s="80" t="s">
        <v>914</v>
      </c>
      <c r="D11" s="76" t="s">
        <v>26</v>
      </c>
      <c r="E11" s="77" t="s">
        <v>914</v>
      </c>
      <c r="F11" s="78" t="s">
        <v>915</v>
      </c>
      <c r="I11" s="107" t="s">
        <v>938</v>
      </c>
      <c r="J11" s="105" t="s">
        <v>939</v>
      </c>
    </row>
    <row r="12" spans="1:10" ht="32" x14ac:dyDescent="0.2">
      <c r="A12" s="15" t="s">
        <v>920</v>
      </c>
      <c r="B12" s="55">
        <f>SUMIFS(Données_nettoyées!$K$2:$K$601,Données_nettoyées!$B$2:$B$601,"&gt;=2026-01-01",Données_nettoyées!$B$2:$B$601,"&lt;2026-02-01")</f>
        <v>12180.7</v>
      </c>
      <c r="D12" s="57" t="s">
        <v>43</v>
      </c>
      <c r="E12" s="58">
        <f>SUMIF(Données_nettoyées!$F$2:$F$601,D12,Données_nettoyées!$K$2:$K$601)</f>
        <v>19273.400000000009</v>
      </c>
      <c r="F12" s="59">
        <f>E12/SUM($E$12:$E$16)</f>
        <v>0.28179112682676855</v>
      </c>
      <c r="I12" s="107" t="s">
        <v>940</v>
      </c>
      <c r="J12" s="105" t="s">
        <v>953</v>
      </c>
    </row>
    <row r="13" spans="1:10" x14ac:dyDescent="0.2">
      <c r="A13" s="15" t="s">
        <v>921</v>
      </c>
      <c r="B13" s="46">
        <f>SUMIFS(Données_nettoyées!$K$2:$K$601,Données_nettoyées!$B$2:$B$601,"&gt;=2026-02-01",Données_nettoyées!$B$2:$B$601,"&lt;2026-03-01")</f>
        <v>11328.700000000003</v>
      </c>
      <c r="D13" s="11" t="s">
        <v>36</v>
      </c>
      <c r="E13" s="60">
        <f>SUMIF(Données_nettoyées!$F$2:$F$601,D13,Données_nettoyées!$K$2:$K$601)</f>
        <v>16983.800000000003</v>
      </c>
      <c r="F13" s="61">
        <f>E13/SUM($E$12:$E$16)</f>
        <v>0.24831550944827951</v>
      </c>
    </row>
    <row r="14" spans="1:10" x14ac:dyDescent="0.2">
      <c r="A14" s="56" t="s">
        <v>922</v>
      </c>
      <c r="B14" s="45">
        <f>SUMIFS(Données_nettoyées!$K$2:$K$601,Données_nettoyées!$B$2:$B$601,"&gt;=2026-03-01",Données_nettoyées!$B$2:$B$601,"&lt;2026-04-01")</f>
        <v>12442.500000000002</v>
      </c>
      <c r="D14" s="11" t="s">
        <v>71</v>
      </c>
      <c r="E14" s="60">
        <f>SUMIF(Données_nettoyées!$F$2:$F$601,D14,Données_nettoyées!$K$2:$K$601)</f>
        <v>14702</v>
      </c>
      <c r="F14" s="61">
        <f>E14/SUM($E$12:$E$16)</f>
        <v>0.21495393374324973</v>
      </c>
    </row>
    <row r="15" spans="1:10" x14ac:dyDescent="0.2">
      <c r="A15" s="15" t="s">
        <v>923</v>
      </c>
      <c r="B15" s="46">
        <f>SUMIFS(Données_nettoyées!$K$2:$K$601,Données_nettoyées!$B$2:$B$601,"&gt;=2026-04-01",Données_nettoyées!$B$2:$B$601,"&lt;2026-05-01")</f>
        <v>11420.349999999999</v>
      </c>
      <c r="D15" s="11" t="s">
        <v>59</v>
      </c>
      <c r="E15" s="60">
        <f>SUMIF(Données_nettoyées!$F$2:$F$601,D15,Données_nettoyées!$K$2:$K$601)</f>
        <v>11514.749999999998</v>
      </c>
      <c r="F15" s="61">
        <f>E15/SUM($E$12:$E$16)</f>
        <v>0.16835402044416301</v>
      </c>
    </row>
    <row r="16" spans="1:10" ht="16" thickBot="1" x14ac:dyDescent="0.25">
      <c r="A16" s="15" t="s">
        <v>924</v>
      </c>
      <c r="B16" s="46">
        <f>SUMIFS(Données_nettoyées!$K$2:$K$601,Données_nettoyées!$B$2:$B$601,"&gt;=2026-05-01",Données_nettoyées!$B$2:$B$601,"&lt;2026-06-01")</f>
        <v>10823.35</v>
      </c>
      <c r="D16" s="12" t="s">
        <v>51</v>
      </c>
      <c r="E16" s="62">
        <f>SUMIF(Données_nettoyées!$F$2:$F$601,D16,Données_nettoyées!$K$2:$K$601)</f>
        <v>5922.1</v>
      </c>
      <c r="F16" s="63">
        <f>E16/SUM($E$12:$E$16)</f>
        <v>8.6585409537539071E-2</v>
      </c>
    </row>
    <row r="17" spans="1:6" ht="16" thickBot="1" x14ac:dyDescent="0.25">
      <c r="A17" s="16" t="s">
        <v>925</v>
      </c>
      <c r="B17" s="47">
        <f>SUMIFS(Données_nettoyées!$K$2:$K$601,Données_nettoyées!$B$2:$B$601,"&gt;=2026-06-01",Données_nettoyées!$B$2:$B$601,"&lt;2026-07-01")</f>
        <v>10200.450000000003</v>
      </c>
    </row>
    <row r="19" spans="1:6" ht="16" thickBot="1" x14ac:dyDescent="0.25"/>
    <row r="20" spans="1:6" ht="18" thickBot="1" x14ac:dyDescent="0.25">
      <c r="A20" s="37" t="s">
        <v>926</v>
      </c>
      <c r="B20" s="38"/>
      <c r="C20" s="39"/>
      <c r="D20" s="73" t="s">
        <v>927</v>
      </c>
      <c r="E20" s="74"/>
      <c r="F20" s="75"/>
    </row>
    <row r="21" spans="1:6" x14ac:dyDescent="0.2">
      <c r="A21" s="81" t="s">
        <v>24</v>
      </c>
      <c r="B21" s="82" t="s">
        <v>914</v>
      </c>
      <c r="C21" s="83" t="s">
        <v>915</v>
      </c>
      <c r="D21" s="84" t="s">
        <v>25</v>
      </c>
      <c r="E21" s="85" t="s">
        <v>914</v>
      </c>
      <c r="F21" s="86" t="s">
        <v>915</v>
      </c>
    </row>
    <row r="22" spans="1:6" x14ac:dyDescent="0.2">
      <c r="A22" s="17" t="s">
        <v>47</v>
      </c>
      <c r="B22" s="48">
        <f>SUMIF(Données_nettoyées!$D$2:$D$601,A22,Données_nettoyées!$K$2:$K$601)</f>
        <v>22318.800000000003</v>
      </c>
      <c r="C22" s="20">
        <f>B22/SUM($B$22:$B$26)</f>
        <v>0.3263170899489079</v>
      </c>
      <c r="D22" s="57" t="s">
        <v>35</v>
      </c>
      <c r="E22" s="64">
        <f>SUMIF(Données_nettoyées!$E$2:$E$601,D22,Données_nettoyées!$K$2:$K$601)</f>
        <v>32565.850000000006</v>
      </c>
      <c r="F22" s="65">
        <f>E22/SUM($E$22:$E$24)</f>
        <v>0.47613641431047549</v>
      </c>
    </row>
    <row r="23" spans="1:6" x14ac:dyDescent="0.2">
      <c r="A23" s="9" t="s">
        <v>58</v>
      </c>
      <c r="B23" s="43">
        <f>SUMIF(Données_nettoyées!$D$2:$D$601,A23,Données_nettoyées!$K$2:$K$601)</f>
        <v>15506.300000000003</v>
      </c>
      <c r="C23" s="18">
        <f t="shared" ref="C23:C26" si="0">B23/SUM($B$22:$B$26)</f>
        <v>0.22671338476417865</v>
      </c>
      <c r="D23" s="11" t="s">
        <v>42</v>
      </c>
      <c r="E23" s="60">
        <f>SUMIF(Données_nettoyées!$E$2:$E$601,D23,Données_nettoyées!$K$2:$K$601)</f>
        <v>18517.700000000004</v>
      </c>
      <c r="F23" s="66">
        <f t="shared" ref="F23:F24" si="1">E23/SUM($E$22:$E$24)</f>
        <v>0.27074224315585477</v>
      </c>
    </row>
    <row r="24" spans="1:6" ht="16" thickBot="1" x14ac:dyDescent="0.25">
      <c r="A24" s="9" t="s">
        <v>41</v>
      </c>
      <c r="B24" s="43">
        <f>SUMIF(Données_nettoyées!$D$2:$D$601,A24,Données_nettoyées!$K$2:$K$601)</f>
        <v>13549.000000000002</v>
      </c>
      <c r="C24" s="18">
        <f t="shared" si="0"/>
        <v>0.1980962350895995</v>
      </c>
      <c r="D24" s="12" t="s">
        <v>91</v>
      </c>
      <c r="E24" s="62">
        <f>SUMIF(Données_nettoyées!$E$2:$E$601,D24,Données_nettoyées!$K$2:$K$601)</f>
        <v>17312.500000000004</v>
      </c>
      <c r="F24" s="67">
        <f t="shared" si="1"/>
        <v>0.25312134253366969</v>
      </c>
    </row>
    <row r="25" spans="1:6" x14ac:dyDescent="0.2">
      <c r="A25" s="9" t="s">
        <v>34</v>
      </c>
      <c r="B25" s="43">
        <f>SUMIF(Données_nettoyées!$D$2:$D$601,A25,Données_nettoyées!$K$2:$K$601)</f>
        <v>8855.9</v>
      </c>
      <c r="C25" s="18">
        <f t="shared" si="0"/>
        <v>0.1294796994855697</v>
      </c>
    </row>
    <row r="26" spans="1:6" ht="16" thickBot="1" x14ac:dyDescent="0.25">
      <c r="A26" s="10" t="s">
        <v>114</v>
      </c>
      <c r="B26" s="44">
        <f>SUMIF(Données_nettoyées!$D$2:$D$601,A26,Données_nettoyées!$K$2:$K$601)</f>
        <v>8166.05</v>
      </c>
      <c r="C26" s="19">
        <f t="shared" si="0"/>
        <v>0.11939359071174431</v>
      </c>
    </row>
    <row r="28" spans="1:6" ht="16" thickBot="1" x14ac:dyDescent="0.25"/>
    <row r="29" spans="1:6" ht="17" x14ac:dyDescent="0.2">
      <c r="A29" s="40" t="s">
        <v>928</v>
      </c>
      <c r="B29" s="41"/>
      <c r="C29" s="42"/>
    </row>
    <row r="30" spans="1:6" x14ac:dyDescent="0.2">
      <c r="A30" s="87" t="s">
        <v>27</v>
      </c>
      <c r="B30" s="88" t="s">
        <v>914</v>
      </c>
      <c r="C30" s="89" t="s">
        <v>909</v>
      </c>
    </row>
    <row r="31" spans="1:6" x14ac:dyDescent="0.2">
      <c r="A31" s="17" t="s">
        <v>44</v>
      </c>
      <c r="B31" s="48">
        <v>6880.5</v>
      </c>
      <c r="C31" s="21">
        <v>71</v>
      </c>
    </row>
    <row r="32" spans="1:6" x14ac:dyDescent="0.2">
      <c r="A32" s="9" t="s">
        <v>48</v>
      </c>
      <c r="B32" s="43">
        <v>6381.35</v>
      </c>
      <c r="C32" s="21">
        <v>36</v>
      </c>
    </row>
    <row r="33" spans="1:3" x14ac:dyDescent="0.2">
      <c r="A33" s="9" t="s">
        <v>60</v>
      </c>
      <c r="B33" s="43">
        <v>5532</v>
      </c>
      <c r="C33" s="21">
        <v>46</v>
      </c>
    </row>
    <row r="34" spans="1:3" x14ac:dyDescent="0.2">
      <c r="A34" s="9" t="s">
        <v>85</v>
      </c>
      <c r="B34" s="43">
        <v>5153.1000000000004</v>
      </c>
      <c r="C34" s="21">
        <v>58</v>
      </c>
    </row>
    <row r="35" spans="1:3" ht="16" thickBot="1" x14ac:dyDescent="0.25">
      <c r="A35" s="10" t="s">
        <v>137</v>
      </c>
      <c r="B35" s="44">
        <v>4554</v>
      </c>
      <c r="C35" s="22">
        <v>41</v>
      </c>
    </row>
  </sheetData>
  <sortState xmlns:xlrd2="http://schemas.microsoft.com/office/spreadsheetml/2017/richdata2" ref="D12:F16">
    <sortCondition descending="1" ref="E12:E16"/>
  </sortState>
  <mergeCells count="8">
    <mergeCell ref="I9:J9"/>
    <mergeCell ref="A1:D1"/>
    <mergeCell ref="A3:B3"/>
    <mergeCell ref="D10:F10"/>
    <mergeCell ref="D20:F20"/>
    <mergeCell ref="A20:C20"/>
    <mergeCell ref="A10:B10"/>
    <mergeCell ref="A29:C29"/>
  </mergeCells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showGridLines="0" tabSelected="1" workbookViewId="0">
      <selection activeCell="N14" sqref="N14"/>
    </sheetView>
  </sheetViews>
  <sheetFormatPr baseColWidth="10" defaultColWidth="8.83203125" defaultRowHeight="15" x14ac:dyDescent="0.2"/>
  <cols>
    <col min="1" max="8" width="14.83203125" customWidth="1"/>
    <col min="10" max="10" width="18.5" bestFit="1" customWidth="1"/>
    <col min="11" max="11" width="11" bestFit="1" customWidth="1"/>
    <col min="13" max="13" width="15.6640625" bestFit="1" customWidth="1"/>
    <col min="14" max="14" width="11" bestFit="1" customWidth="1"/>
  </cols>
  <sheetData>
    <row r="1" spans="1:14" ht="24" x14ac:dyDescent="0.3">
      <c r="A1" s="90" t="s">
        <v>916</v>
      </c>
      <c r="B1" s="90"/>
      <c r="C1" s="90"/>
      <c r="D1" s="90"/>
      <c r="E1" s="90"/>
      <c r="F1" s="90"/>
      <c r="G1" s="90"/>
      <c r="H1" s="90"/>
    </row>
    <row r="2" spans="1:14" ht="16" thickBot="1" x14ac:dyDescent="0.25">
      <c r="A2" s="91" t="s">
        <v>941</v>
      </c>
      <c r="B2" s="91"/>
      <c r="C2" s="91"/>
      <c r="D2" s="91"/>
      <c r="E2" s="91"/>
      <c r="F2" s="91"/>
      <c r="G2" s="91"/>
      <c r="H2" s="91"/>
    </row>
    <row r="3" spans="1:14" ht="17" x14ac:dyDescent="0.2">
      <c r="A3" s="92" t="s">
        <v>917</v>
      </c>
      <c r="B3" s="92"/>
      <c r="C3" s="94" t="s">
        <v>918</v>
      </c>
      <c r="D3" s="94"/>
      <c r="E3" s="94" t="s">
        <v>946</v>
      </c>
      <c r="F3" s="94"/>
      <c r="G3" s="94" t="s">
        <v>919</v>
      </c>
      <c r="H3" s="94"/>
      <c r="J3" s="96" t="s">
        <v>913</v>
      </c>
      <c r="K3" s="97" t="s">
        <v>914</v>
      </c>
      <c r="M3" s="96" t="s">
        <v>26</v>
      </c>
      <c r="N3" s="97" t="s">
        <v>914</v>
      </c>
    </row>
    <row r="4" spans="1:14" ht="24" x14ac:dyDescent="0.3">
      <c r="A4" s="93">
        <f>Analyse!B4</f>
        <v>68396.049999999959</v>
      </c>
      <c r="B4" s="93"/>
      <c r="C4" s="95">
        <f>Analyse!B5</f>
        <v>600</v>
      </c>
      <c r="D4" s="95"/>
      <c r="E4" s="95">
        <f>Analyse!B6</f>
        <v>1155</v>
      </c>
      <c r="F4" s="95"/>
      <c r="G4" s="93">
        <f>Analyse!B7</f>
        <v>113.9934166666666</v>
      </c>
      <c r="H4" s="93"/>
      <c r="J4" s="13" t="str">
        <f>Analyse!A12</f>
        <v>Janvier</v>
      </c>
      <c r="K4" s="29">
        <f>Analyse!B12</f>
        <v>12180.7</v>
      </c>
      <c r="M4" s="13" t="str">
        <f>Analyse!D12</f>
        <v>Maison</v>
      </c>
      <c r="N4" s="29">
        <f>Analyse!E12</f>
        <v>19273.400000000009</v>
      </c>
    </row>
    <row r="5" spans="1:14" x14ac:dyDescent="0.2">
      <c r="J5" s="13" t="str">
        <f>Analyse!A13</f>
        <v>Février</v>
      </c>
      <c r="K5" s="29">
        <f>Analyse!B13</f>
        <v>11328.700000000003</v>
      </c>
      <c r="M5" s="13" t="str">
        <f>Analyse!D13</f>
        <v>Électronique</v>
      </c>
      <c r="N5" s="29">
        <f>Analyse!E13</f>
        <v>16983.800000000003</v>
      </c>
    </row>
    <row r="6" spans="1:14" x14ac:dyDescent="0.2">
      <c r="J6" s="13" t="str">
        <f>Analyse!A14</f>
        <v>Mars</v>
      </c>
      <c r="K6" s="29">
        <f>Analyse!B14</f>
        <v>12442.500000000002</v>
      </c>
      <c r="M6" s="13" t="str">
        <f>Analyse!D14</f>
        <v>Vêtements</v>
      </c>
      <c r="N6" s="29">
        <f>Analyse!E14</f>
        <v>14702</v>
      </c>
    </row>
    <row r="7" spans="1:14" x14ac:dyDescent="0.2">
      <c r="D7" s="24"/>
      <c r="J7" s="13" t="str">
        <f>Analyse!A15</f>
        <v>Avril</v>
      </c>
      <c r="K7" s="29">
        <f>Analyse!B15</f>
        <v>11420.349999999999</v>
      </c>
      <c r="M7" s="13" t="str">
        <f>Analyse!D15</f>
        <v>Beauté</v>
      </c>
      <c r="N7" s="29">
        <f>Analyse!E15</f>
        <v>11514.749999999998</v>
      </c>
    </row>
    <row r="8" spans="1:14" ht="16" thickBot="1" x14ac:dyDescent="0.25">
      <c r="D8" s="25"/>
      <c r="J8" s="13" t="str">
        <f>Analyse!A16</f>
        <v>Mai</v>
      </c>
      <c r="K8" s="29">
        <f>Analyse!B16</f>
        <v>10823.35</v>
      </c>
      <c r="M8" s="14" t="str">
        <f>Analyse!D16</f>
        <v>Sport</v>
      </c>
      <c r="N8" s="30">
        <f>Analyse!E16</f>
        <v>5922.1</v>
      </c>
    </row>
    <row r="9" spans="1:14" ht="16" thickBot="1" x14ac:dyDescent="0.25">
      <c r="D9" s="25"/>
      <c r="J9" s="14" t="str">
        <f>Analyse!A17</f>
        <v>Juin</v>
      </c>
      <c r="K9" s="30">
        <f>Analyse!B17</f>
        <v>10200.450000000003</v>
      </c>
    </row>
    <row r="10" spans="1:14" x14ac:dyDescent="0.2">
      <c r="D10" s="25"/>
    </row>
    <row r="11" spans="1:14" ht="16" thickBot="1" x14ac:dyDescent="0.25">
      <c r="D11" s="25"/>
    </row>
    <row r="12" spans="1:14" ht="17" x14ac:dyDescent="0.2">
      <c r="D12" s="25"/>
      <c r="J12" s="27" t="s">
        <v>24</v>
      </c>
      <c r="K12" s="28" t="s">
        <v>914</v>
      </c>
      <c r="M12" s="31" t="s">
        <v>25</v>
      </c>
      <c r="N12" s="32" t="s">
        <v>914</v>
      </c>
    </row>
    <row r="13" spans="1:14" x14ac:dyDescent="0.2">
      <c r="D13" s="25"/>
      <c r="J13" s="13" t="str">
        <f>Analyse!A22</f>
        <v>Île-de-France</v>
      </c>
      <c r="K13" s="29">
        <f>Analyse!B22</f>
        <v>22318.800000000003</v>
      </c>
      <c r="M13" s="9" t="str">
        <f>Analyse!D22</f>
        <v>Site web</v>
      </c>
      <c r="N13" s="33">
        <f>Analyse!E22</f>
        <v>32565.850000000006</v>
      </c>
    </row>
    <row r="14" spans="1:14" x14ac:dyDescent="0.2">
      <c r="D14" s="26"/>
      <c r="J14" s="13" t="str">
        <f>Analyse!A23</f>
        <v>Auvergne-Rhône-Alpes</v>
      </c>
      <c r="K14" s="29">
        <f>Analyse!B23</f>
        <v>15506.300000000003</v>
      </c>
      <c r="M14" s="9" t="str">
        <f>Analyse!D23</f>
        <v>Application mobile</v>
      </c>
      <c r="N14" s="33">
        <f>Analyse!E23</f>
        <v>18517.700000000004</v>
      </c>
    </row>
    <row r="15" spans="1:14" ht="16" thickBot="1" x14ac:dyDescent="0.25">
      <c r="J15" s="13" t="str">
        <f>Analyse!A24</f>
        <v>Occitanie</v>
      </c>
      <c r="K15" s="29">
        <f>Analyse!B24</f>
        <v>13549.000000000002</v>
      </c>
      <c r="M15" s="10" t="str">
        <f>Analyse!D24</f>
        <v>Magasin</v>
      </c>
      <c r="N15" s="34">
        <f>Analyse!E24</f>
        <v>17312.500000000004</v>
      </c>
    </row>
    <row r="16" spans="1:14" x14ac:dyDescent="0.2">
      <c r="J16" s="13" t="str">
        <f>Analyse!A25</f>
        <v>Nouvelle-Aquitaine</v>
      </c>
      <c r="K16" s="29">
        <f>Analyse!B25</f>
        <v>8855.9</v>
      </c>
    </row>
    <row r="17" spans="10:11" ht="16" thickBot="1" x14ac:dyDescent="0.25">
      <c r="J17" s="14" t="str">
        <f>Analyse!A26</f>
        <v>Hauts-de-France</v>
      </c>
      <c r="K17" s="30">
        <f>Analyse!B26</f>
        <v>8166.05</v>
      </c>
    </row>
    <row r="34" spans="1:8" ht="19" x14ac:dyDescent="0.25">
      <c r="A34" s="98" t="s">
        <v>931</v>
      </c>
      <c r="B34" s="98"/>
      <c r="C34" s="98"/>
      <c r="D34" s="98"/>
      <c r="E34" s="98"/>
      <c r="F34" s="98"/>
      <c r="G34" s="98"/>
      <c r="H34" s="98"/>
    </row>
    <row r="35" spans="1:8" ht="25" customHeight="1" x14ac:dyDescent="0.2">
      <c r="A35" s="102" t="s">
        <v>942</v>
      </c>
      <c r="B35" s="103"/>
      <c r="C35" s="103"/>
      <c r="D35" s="103"/>
      <c r="E35" s="103"/>
      <c r="F35" s="103"/>
      <c r="G35" s="103"/>
      <c r="H35" s="104"/>
    </row>
    <row r="36" spans="1:8" ht="25" customHeight="1" x14ac:dyDescent="0.2">
      <c r="A36" s="99" t="s">
        <v>943</v>
      </c>
      <c r="B36" s="100"/>
      <c r="C36" s="100"/>
      <c r="D36" s="100"/>
      <c r="E36" s="100"/>
      <c r="F36" s="100"/>
      <c r="G36" s="100"/>
      <c r="H36" s="101"/>
    </row>
    <row r="37" spans="1:8" ht="25" customHeight="1" x14ac:dyDescent="0.2">
      <c r="A37" s="102" t="s">
        <v>944</v>
      </c>
      <c r="B37" s="103"/>
      <c r="C37" s="103"/>
      <c r="D37" s="103"/>
      <c r="E37" s="103"/>
      <c r="F37" s="103"/>
      <c r="G37" s="103"/>
      <c r="H37" s="104"/>
    </row>
    <row r="38" spans="1:8" ht="25" customHeight="1" x14ac:dyDescent="0.2">
      <c r="A38" s="102" t="s">
        <v>945</v>
      </c>
      <c r="B38" s="103"/>
      <c r="C38" s="103"/>
      <c r="D38" s="103"/>
      <c r="E38" s="103"/>
      <c r="F38" s="103"/>
      <c r="G38" s="103"/>
      <c r="H38" s="104"/>
    </row>
  </sheetData>
  <mergeCells count="15">
    <mergeCell ref="A35:H35"/>
    <mergeCell ref="A36:H36"/>
    <mergeCell ref="A37:H37"/>
    <mergeCell ref="A38:H38"/>
    <mergeCell ref="A2:H2"/>
    <mergeCell ref="A34:H34"/>
    <mergeCell ref="A1:H1"/>
    <mergeCell ref="A3:B3"/>
    <mergeCell ref="C3:D3"/>
    <mergeCell ref="A4:B4"/>
    <mergeCell ref="C4:D4"/>
    <mergeCell ref="E3:F3"/>
    <mergeCell ref="E4:F4"/>
    <mergeCell ref="G3:H3"/>
    <mergeCell ref="G4:H4"/>
  </mergeCells>
  <pageMargins left="0.25" right="0.25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README</vt:lpstr>
      <vt:lpstr>Données_brutes</vt:lpstr>
      <vt:lpstr>Données_nettoyées</vt:lpstr>
      <vt:lpstr>Analyse</vt:lpstr>
      <vt:lpstr>Dashboard</vt:lpstr>
      <vt:lpstr>Dashboard!Zone_d_impression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Rachel Warid</cp:lastModifiedBy>
  <cp:lastPrinted>2026-09-18T10:58:40Z</cp:lastPrinted>
  <dcterms:created xsi:type="dcterms:W3CDTF">2026-09-10T13:20:44Z</dcterms:created>
  <dcterms:modified xsi:type="dcterms:W3CDTF">2026-09-18T17:38:26Z</dcterms:modified>
</cp:coreProperties>
</file>